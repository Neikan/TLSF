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ushkarevm\Documents\Х5\Заявки на договоры\Новая редакция\"/>
    </mc:Choice>
  </mc:AlternateContent>
  <bookViews>
    <workbookView xWindow="0" yWindow="0" windowWidth="16200" windowHeight="10185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62913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<sst xmlns="http://schemas.openxmlformats.org/spreadsheetml/2006/main" count="451" uniqueCount="265">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</sst>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Гиперссылка" xfId="1" builtinId="8"/>
    <cellStyle name="Обычный" xfId="0" builtinId="0"/>
    <cellStyle name="Число" xfId="2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304"/>
  <sheetViews>
    <sheetView tabSelected="1" topLeftCell="C43" zoomScale="85" zoomScaleNormal="85" workbookViewId="0">
      <selection activeCell="E52" sqref="E52:I52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customWidth="1"/>
    <col min="14" max="14" width="21.42578125" style="11" customWidth="1"/>
    <col min="15" max="15" width="9.5703125" style="1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/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/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/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/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/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/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/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/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/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/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/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/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5"/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/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5"/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5"/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/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5"/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/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/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/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/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5"/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/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0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/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0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/>
      </c>
      <c r="C89" s="78" t="s">
        <v>203</v>
      </c>
      <c r="D89" s="78" t="s">
        <v>251</v>
      </c>
      <c r="E89" s="99"/>
      <c r="F89" s="100"/>
      <c r="G89" s="101"/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0</v>
      </c>
    </row>
    <row r="90" spans="1:15" x14ac:dyDescent="0.25">
      <c r="A90" s="11" t="str">
        <f t="shared" si="4"/>
        <v/>
      </c>
      <c r="C90" s="62" t="s">
        <v>203</v>
      </c>
      <c r="D90" s="77" t="s">
        <v>251</v>
      </c>
      <c r="E90" s="93"/>
      <c r="F90" s="94"/>
      <c r="G90" s="95"/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/>
      </c>
      <c r="C91" s="63" t="s">
        <v>251</v>
      </c>
      <c r="D91" s="77" t="s">
        <v>251</v>
      </c>
      <c r="E91" s="93"/>
      <c r="F91" s="94"/>
      <c r="G91" s="95"/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0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0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cgxcTDatsWcFxG03AqvqlatRMlpNPXo1DN8qF+K5VRp2ym1zTh+Afqvgh6ZW9hPLc3iAlpKG6TPnQen1Z6nySA==" saltValue="tJtTDYzeKETup9WtzdcNK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>
      <formula1>Булево</formula1>
    </dataValidation>
    <dataValidation showDropDown="1" showInputMessage="1" showErrorMessage="1" sqref="F83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Лист1!$G$1:$G$3</xm:f>
          </x14:formula1>
          <xm:sqref>E64:F64</xm:sqref>
        </x14:dataValidation>
        <x14:dataValidation type="list" allowBlank="1" showInputMessage="1" showErrorMessage="1">
          <x14:formula1>
            <xm:f>Лист1!$B$2:$B$56</xm:f>
          </x14:formula1>
          <xm:sqref>D9:I10</xm:sqref>
        </x14:dataValidation>
        <x14:dataValidation type="list" allowBlank="1" showInputMessage="1" showErrorMessage="1">
          <x14:formula1>
            <xm:f>Лист1!$C$2:$C$4</xm:f>
          </x14:formula1>
          <xm:sqref>D11:I11</xm:sqref>
        </x14:dataValidation>
        <x14:dataValidation type="list" allowBlank="1" showInputMessage="1" showErrorMessage="1">
          <x14:formula1>
            <xm:f>Лист1!$D$1:$D$2</xm:f>
          </x14:formula1>
          <xm:sqref>D13:I13</xm:sqref>
        </x14:dataValidation>
        <x14:dataValidation type="list" allowBlank="1" showInputMessage="1" showErrorMessage="1">
          <x14:formula1>
            <xm:f>Лист1!$J$2:$J$3</xm:f>
          </x14:formula1>
          <xm:sqref>F68:F72</xm:sqref>
        </x14:dataValidation>
        <x14:dataValidation type="list" allowBlank="1" showInputMessage="1" showErrorMessage="1">
          <x14:formula1>
            <xm:f>Лист1!$L$2</xm:f>
          </x14:formula1>
          <xm:sqref>F73:F75 F77:F81 F84</xm:sqref>
        </x14:dataValidation>
        <x14:dataValidation type="list" allowBlank="1" showInputMessage="1" showErrorMessage="1">
          <x14:formula1>
            <xm:f>Лист1!$M$2</xm:f>
          </x14:formula1>
          <xm:sqref>F76 F85 F82</xm:sqref>
        </x14:dataValidation>
        <x14:dataValidation type="list" allowBlank="1" showInputMessage="1" showErrorMessage="1">
          <x14:formula1>
            <xm:f>Лист1!$F$7</xm:f>
          </x14:formula1>
          <xm:sqref>E83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V1940"/>
  <sheetViews>
    <sheetView topLeftCell="X1" workbookViewId="0">
      <selection activeCell="AB9" sqref="AB9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hidden="1" customWidth="1"/>
    <col min="20" max="22" width="10.42578125" style="2" hidden="1" customWidth="1"/>
    <col min="23" max="23" width="0" style="2" hidden="1" customWidth="1"/>
    <col min="24" max="16384" width="10.42578125" style="2"/>
  </cols>
  <sheetData>
    <row r="1" spans="1:17" ht="63.75" x14ac:dyDescent="0.25">
      <c r="A1" s="87">
        <v>43403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/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/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B5" s="58" t="s">
        <v>95</v>
      </c>
      <c r="O5" s="24" t="s">
        <v>12</v>
      </c>
      <c r="P5" s="14"/>
      <c r="Q5" s="25" t="s">
        <v>56</v>
      </c>
    </row>
    <row r="6" spans="1:17" x14ac:dyDescent="0.25">
      <c r="B6" s="58" t="s">
        <v>96</v>
      </c>
      <c r="O6" s="24" t="s">
        <v>13</v>
      </c>
      <c r="P6" s="14"/>
      <c r="Q6" s="25" t="s">
        <v>57</v>
      </c>
    </row>
    <row r="7" spans="1:17" x14ac:dyDescent="0.25"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B8" s="58" t="s">
        <v>98</v>
      </c>
      <c r="O8" s="24" t="s">
        <v>15</v>
      </c>
      <c r="P8" s="14"/>
      <c r="Q8" s="25" t="s">
        <v>59</v>
      </c>
    </row>
    <row r="9" spans="1:17" x14ac:dyDescent="0.25"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B16" s="58" t="s">
        <v>106</v>
      </c>
      <c r="O16" s="26" t="s">
        <v>70</v>
      </c>
      <c r="P16" s="21"/>
      <c r="Q16" s="25" t="s">
        <v>71</v>
      </c>
    </row>
    <row r="17" spans="2:17" x14ac:dyDescent="0.25">
      <c r="B17" s="58" t="s">
        <v>107</v>
      </c>
      <c r="O17" s="26" t="s">
        <v>72</v>
      </c>
      <c r="P17" s="21"/>
      <c r="Q17" s="25" t="s">
        <v>73</v>
      </c>
    </row>
    <row r="18" spans="2:17" x14ac:dyDescent="0.25">
      <c r="B18" s="58" t="s">
        <v>108</v>
      </c>
      <c r="O18" s="26" t="s">
        <v>74</v>
      </c>
      <c r="P18" s="21"/>
      <c r="Q18" s="25" t="s">
        <v>75</v>
      </c>
    </row>
    <row r="19" spans="2:17" x14ac:dyDescent="0.25">
      <c r="B19" s="58" t="s">
        <v>109</v>
      </c>
      <c r="O19" s="26" t="s">
        <v>76</v>
      </c>
      <c r="P19" s="21"/>
      <c r="Q19" s="25" t="s">
        <v>77</v>
      </c>
    </row>
    <row r="20" spans="2:17" x14ac:dyDescent="0.25">
      <c r="B20" s="58" t="s">
        <v>110</v>
      </c>
      <c r="O20" s="26" t="s">
        <v>78</v>
      </c>
      <c r="P20" s="21"/>
      <c r="Q20" s="25" t="s">
        <v>79</v>
      </c>
    </row>
    <row r="21" spans="2:17" x14ac:dyDescent="0.25">
      <c r="B21" s="58" t="s">
        <v>111</v>
      </c>
      <c r="O21" s="26" t="s">
        <v>80</v>
      </c>
      <c r="P21" s="21"/>
      <c r="Q21" s="25" t="s">
        <v>81</v>
      </c>
    </row>
    <row r="22" spans="2:17" x14ac:dyDescent="0.25">
      <c r="B22" s="58" t="s">
        <v>112</v>
      </c>
      <c r="O22" s="26" t="s">
        <v>82</v>
      </c>
      <c r="P22" s="21"/>
      <c r="Q22" s="25" t="s">
        <v>83</v>
      </c>
    </row>
    <row r="23" spans="2:17" x14ac:dyDescent="0.25">
      <c r="B23" s="58" t="s">
        <v>113</v>
      </c>
      <c r="O23" s="26" t="s">
        <v>84</v>
      </c>
      <c r="P23" s="21"/>
      <c r="Q23" s="25" t="s">
        <v>85</v>
      </c>
    </row>
    <row r="24" spans="2:17" x14ac:dyDescent="0.25">
      <c r="B24" s="58" t="s">
        <v>114</v>
      </c>
      <c r="O24" s="26" t="s">
        <v>86</v>
      </c>
      <c r="P24" s="21"/>
      <c r="Q24" s="25" t="s">
        <v>87</v>
      </c>
    </row>
    <row r="25" spans="2:17" x14ac:dyDescent="0.25">
      <c r="B25" s="58" t="s">
        <v>115</v>
      </c>
      <c r="O25" s="26" t="s">
        <v>88</v>
      </c>
      <c r="P25" s="21"/>
      <c r="Q25" s="25" t="s">
        <v>89</v>
      </c>
    </row>
    <row r="26" spans="2:17" x14ac:dyDescent="0.25">
      <c r="B26" s="58" t="s">
        <v>195</v>
      </c>
      <c r="O26" s="26" t="s">
        <v>90</v>
      </c>
      <c r="P26" s="21"/>
      <c r="Q26" s="25" t="s">
        <v>91</v>
      </c>
    </row>
    <row r="27" spans="2:17" x14ac:dyDescent="0.25">
      <c r="B27" s="58" t="s">
        <v>196</v>
      </c>
    </row>
    <row r="28" spans="2:17" x14ac:dyDescent="0.25">
      <c r="B28" s="58" t="s">
        <v>129</v>
      </c>
    </row>
    <row r="29" spans="2:17" x14ac:dyDescent="0.25">
      <c r="B29" s="58" t="s">
        <v>130</v>
      </c>
    </row>
    <row r="30" spans="2:17" x14ac:dyDescent="0.25">
      <c r="B30" s="58" t="s">
        <v>131</v>
      </c>
    </row>
    <row r="31" spans="2:17" x14ac:dyDescent="0.25">
      <c r="B31" s="58" t="s">
        <v>132</v>
      </c>
    </row>
    <row r="32" spans="2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WH6QRvAdeROCfHJyl1HbqvuxxpvqOu0SO18UX8DnQ/8muycy+Ak6ZrNpYJ+Rst2ezWth7J/7RiNry2oif+ZKQw==" saltValue="rBh8Ll5HzjZemjhrV1NVk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pushkarevm</cp:lastModifiedBy>
  <cp:lastPrinted>2017-08-04T09:03:07Z</cp:lastPrinted>
  <dcterms:created xsi:type="dcterms:W3CDTF">2012-12-04T05:12:19Z</dcterms:created>
  <dcterms:modified xsi:type="dcterms:W3CDTF">2018-10-30T15:01:54Z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