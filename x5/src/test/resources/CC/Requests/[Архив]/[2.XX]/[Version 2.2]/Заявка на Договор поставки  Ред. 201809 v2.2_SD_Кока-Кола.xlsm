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[Documents]\[Projects]\[X5]\[Модули]\[Коммерческие договоры]\[Тестирование]\[Примеры заявок]\[Version 2.2]\"/>
    </mc:Choice>
  </mc:AlternateContent>
  <bookViews>
    <workbookView xWindow="0" yWindow="0" windowWidth="16200" windowHeight="10185"/>
  </bookViews>
  <sheets>
    <sheet name="Заявка на ДП" sheetId="1" r:id="rId1"/>
    <sheet name="Лист1" sheetId="2" r:id="rId2"/>
  </sheets>
  <definedNames>
    <definedName name="Булево">Лист1!$F$1:$F$2</definedName>
    <definedName name="Покупатель">Лист1!$G$1:$G$2</definedName>
  </definedNames>
  <calcPr calcId="152511"/>
</workbook>
</file>

<file path=xl/calcChain.xml><?xml version="1.0" encoding="utf-8"?>
<calcChain xmlns="http://schemas.openxmlformats.org/spreadsheetml/2006/main">
  <c r="A90" i="1" l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M64" i="1"/>
  <c r="O64" i="1"/>
  <c r="O83" i="1"/>
  <c r="O85" i="1"/>
  <c r="O84" i="1"/>
  <c r="O82" i="1"/>
  <c r="O81" i="1"/>
  <c r="O80" i="1"/>
  <c r="O79" i="1"/>
  <c r="O78" i="1"/>
  <c r="O77" i="1"/>
  <c r="O76" i="1"/>
  <c r="O75" i="1"/>
  <c r="O74" i="1"/>
  <c r="O73" i="1"/>
  <c r="O66" i="1"/>
  <c r="O65" i="1"/>
  <c r="O63" i="1"/>
  <c r="O62" i="1"/>
  <c r="O61" i="1"/>
  <c r="O60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89" i="1"/>
  <c r="O67" i="1"/>
  <c r="O69" i="1"/>
  <c r="O70" i="1"/>
  <c r="O71" i="1"/>
  <c r="O72" i="1"/>
  <c r="O6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33" i="1"/>
  <c r="A34" i="1"/>
  <c r="A35" i="1"/>
  <c r="A36" i="1"/>
  <c r="A37" i="1"/>
  <c r="A38" i="1"/>
  <c r="A43" i="1"/>
  <c r="A44" i="1"/>
  <c r="A45" i="1"/>
  <c r="A46" i="1"/>
  <c r="A48" i="1"/>
  <c r="A22" i="1"/>
  <c r="A23" i="1"/>
  <c r="A24" i="1"/>
  <c r="A25" i="1"/>
  <c r="A26" i="1"/>
  <c r="A27" i="1"/>
  <c r="A28" i="1"/>
  <c r="A29" i="1"/>
  <c r="A30" i="1"/>
  <c r="A31" i="1"/>
  <c r="A32" i="1"/>
  <c r="A89" i="1"/>
</calcChain>
</file>

<file path=xl/sharedStrings.xml><?xml version="1.0" encoding="utf-8"?>
<sst xmlns="http://schemas.openxmlformats.org/spreadsheetml/2006/main" count="458" uniqueCount="273">
  <si>
    <r>
      <t>Наименование Контрагента – КА (</t>
    </r>
    <r>
      <rPr>
        <sz val="8"/>
        <color theme="1"/>
        <rFont val="Calibri"/>
        <family val="2"/>
        <charset val="204"/>
        <scheme val="minor"/>
      </rPr>
      <t>на русском языке</t>
    </r>
    <r>
      <rPr>
        <b/>
        <sz val="8"/>
        <color theme="1"/>
        <rFont val="Calibri"/>
        <family val="2"/>
        <charset val="204"/>
        <scheme val="minor"/>
      </rPr>
      <t>):</t>
    </r>
  </si>
  <si>
    <t>ИНН КА:</t>
  </si>
  <si>
    <t>Примечание</t>
  </si>
  <si>
    <r>
      <rPr>
        <b/>
        <sz val="8"/>
        <color theme="1"/>
        <rFont val="Calibri"/>
        <family val="2"/>
        <charset val="204"/>
        <scheme val="minor"/>
      </rPr>
      <t>п.п.3.4.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4) Интервал отсрочки в к.д.:  без ограничения</t>
    </r>
  </si>
  <si>
    <t>Непродовольственные товары.</t>
  </si>
  <si>
    <t xml:space="preserve"> Алкогольная продукция произведенная за пределами  РФ.</t>
  </si>
  <si>
    <t>Код БЕ</t>
  </si>
  <si>
    <t>ФИО подписанта</t>
  </si>
  <si>
    <t>Номер доверенности</t>
  </si>
  <si>
    <t>RU06</t>
  </si>
  <si>
    <t>RU05</t>
  </si>
  <si>
    <t>RU61</t>
  </si>
  <si>
    <t>RU62</t>
  </si>
  <si>
    <t>RU63</t>
  </si>
  <si>
    <t>RU64</t>
  </si>
  <si>
    <t>RU02</t>
  </si>
  <si>
    <t>RU68</t>
  </si>
  <si>
    <t>RU27</t>
  </si>
  <si>
    <t>RU08</t>
  </si>
  <si>
    <t>RU04</t>
  </si>
  <si>
    <t>Заявка на заключение Договора поставки</t>
  </si>
  <si>
    <r>
      <t>Код КА в SAP (</t>
    </r>
    <r>
      <rPr>
        <sz val="8"/>
        <color theme="1"/>
        <rFont val="Calibri"/>
        <family val="2"/>
        <charset val="204"/>
        <scheme val="minor"/>
      </rPr>
      <t>указывается если КА не новый</t>
    </r>
    <r>
      <rPr>
        <b/>
        <sz val="8"/>
        <color theme="1"/>
        <rFont val="Calibri"/>
        <family val="2"/>
        <charset val="204"/>
        <scheme val="minor"/>
      </rPr>
      <t xml:space="preserve">): </t>
    </r>
  </si>
  <si>
    <r>
      <t>Контактное лицо КА  (</t>
    </r>
    <r>
      <rPr>
        <sz val="8"/>
        <color theme="1"/>
        <rFont val="Calibri"/>
        <family val="2"/>
        <charset val="204"/>
        <scheme val="minor"/>
      </rPr>
      <t>Ф.И.О.</t>
    </r>
    <r>
      <rPr>
        <b/>
        <sz val="8"/>
        <color theme="1"/>
        <rFont val="Calibri"/>
        <family val="2"/>
        <charset val="204"/>
        <scheme val="minor"/>
      </rPr>
      <t>):</t>
    </r>
  </si>
  <si>
    <r>
      <t>Контактное лицо КА  (</t>
    </r>
    <r>
      <rPr>
        <sz val="8"/>
        <color theme="1"/>
        <rFont val="Calibri"/>
        <family val="2"/>
        <charset val="204"/>
        <scheme val="minor"/>
      </rPr>
      <t>Тел.</t>
    </r>
    <r>
      <rPr>
        <b/>
        <sz val="8"/>
        <color theme="1"/>
        <rFont val="Calibri"/>
        <family val="2"/>
        <charset val="204"/>
        <scheme val="minor"/>
      </rPr>
      <t>):</t>
    </r>
  </si>
  <si>
    <r>
      <t>Контактное лицо КА  (</t>
    </r>
    <r>
      <rPr>
        <sz val="8"/>
        <color theme="1"/>
        <rFont val="Calibri"/>
        <family val="2"/>
        <charset val="204"/>
        <scheme val="minor"/>
      </rPr>
      <t xml:space="preserve"> E-mail</t>
    </r>
    <r>
      <rPr>
        <b/>
        <sz val="8"/>
        <color theme="1"/>
        <rFont val="Calibri"/>
        <family val="2"/>
        <charset val="204"/>
        <scheme val="minor"/>
      </rPr>
      <t>):</t>
    </r>
  </si>
  <si>
    <t>Новый</t>
  </si>
  <si>
    <t>Действующий</t>
  </si>
  <si>
    <r>
      <t>Инициатор Заявки (</t>
    </r>
    <r>
      <rPr>
        <sz val="8"/>
        <color theme="1"/>
        <rFont val="Calibri"/>
        <family val="2"/>
        <charset val="204"/>
        <scheme val="minor"/>
      </rPr>
      <t>Тел.</t>
    </r>
    <r>
      <rPr>
        <b/>
        <sz val="8"/>
        <color theme="1"/>
        <rFont val="Calibri"/>
        <family val="2"/>
        <charset val="204"/>
        <scheme val="minor"/>
      </rPr>
      <t>):</t>
    </r>
  </si>
  <si>
    <r>
      <t>Статус КА (</t>
    </r>
    <r>
      <rPr>
        <sz val="8"/>
        <color theme="1"/>
        <rFont val="Calibri"/>
        <family val="2"/>
        <charset val="204"/>
        <scheme val="minor"/>
      </rPr>
      <t>указать из выпадающего списка</t>
    </r>
    <r>
      <rPr>
        <b/>
        <sz val="8"/>
        <color theme="1"/>
        <rFont val="Calibri"/>
        <family val="2"/>
        <charset val="204"/>
        <scheme val="minor"/>
      </rPr>
      <t>):</t>
    </r>
  </si>
  <si>
    <t>Да</t>
  </si>
  <si>
    <t>Проставлены идеальные условия</t>
  </si>
  <si>
    <t>Новейший фин.код 2-го уровня</t>
  </si>
  <si>
    <t>(федеральный, основной)</t>
  </si>
  <si>
    <t>Продовольственные товары со сроком годности менее десяти дней</t>
  </si>
  <si>
    <t>Продовольственные товары со сроком годности от десяти до тридцати дней включительно</t>
  </si>
  <si>
    <t xml:space="preserve">Продовольственные товары со сроком годности свыше тридцати дней, а также  алкогольная продукция, произведенная на территории Российской Федерации  </t>
  </si>
  <si>
    <r>
      <rPr>
        <b/>
        <sz val="8"/>
        <color theme="1"/>
        <rFont val="Calibri"/>
        <family val="2"/>
        <charset val="204"/>
        <scheme val="minor"/>
      </rPr>
      <t>п.п.3.1.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1) Интервал отсрочки в к.д.:  до </t>
    </r>
    <r>
      <rPr>
        <b/>
        <sz val="8"/>
        <color theme="1"/>
        <rFont val="Calibri"/>
        <family val="2"/>
        <charset val="204"/>
        <scheme val="minor"/>
      </rPr>
      <t>8 р.д.</t>
    </r>
  </si>
  <si>
    <t xml:space="preserve"> Стороны определили, что расчет количества паллет и автомашин, подлежащих  самовывозу осуществляется (выбрать одно из условий). Если условие вами не выбрано, то по умолчанию  "Покупателем"</t>
  </si>
  <si>
    <t>Обязательно для заполнения</t>
  </si>
  <si>
    <r>
      <rPr>
        <b/>
        <sz val="8"/>
        <color theme="1"/>
        <rFont val="Calibri"/>
        <family val="2"/>
        <charset val="204"/>
        <scheme val="minor"/>
      </rPr>
      <t>п.п.3.5.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5) Интервал отсрочки в к.д.:  </t>
    </r>
    <r>
      <rPr>
        <b/>
        <sz val="8"/>
        <color theme="1"/>
        <rFont val="Calibri"/>
        <family val="2"/>
        <charset val="204"/>
        <scheme val="minor"/>
      </rPr>
      <t xml:space="preserve"> до 40 к.д.</t>
    </r>
  </si>
  <si>
    <r>
      <rPr>
        <b/>
        <sz val="8"/>
        <color theme="1"/>
        <rFont val="Calibri"/>
        <family val="2"/>
        <charset val="204"/>
        <scheme val="minor"/>
      </rPr>
      <t>п.п.3.2.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2) Интервал отсрочки в к.д.:   до </t>
    </r>
    <r>
      <rPr>
        <b/>
        <sz val="8"/>
        <color theme="1"/>
        <rFont val="Calibri"/>
        <family val="2"/>
        <charset val="204"/>
        <scheme val="minor"/>
      </rPr>
      <t>25 к.д.</t>
    </r>
  </si>
  <si>
    <r>
      <rPr>
        <b/>
        <sz val="8"/>
        <color theme="1"/>
        <rFont val="Calibri"/>
        <family val="2"/>
        <charset val="204"/>
        <scheme val="minor"/>
      </rPr>
      <t>п.п.3.3.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3) Интервал отсрочки в к.д.:   до </t>
    </r>
    <r>
      <rPr>
        <b/>
        <sz val="8"/>
        <color theme="1"/>
        <rFont val="Calibri"/>
        <family val="2"/>
        <charset val="204"/>
        <scheme val="minor"/>
      </rPr>
      <t>40 к.д.</t>
    </r>
  </si>
  <si>
    <t>Версия документа, дата</t>
  </si>
  <si>
    <t>Автор, должность</t>
  </si>
  <si>
    <r>
      <rPr>
        <b/>
        <sz val="10"/>
        <color rgb="FFFF0000"/>
        <rFont val="Calibri"/>
        <family val="2"/>
        <charset val="204"/>
        <scheme val="minor"/>
      </rPr>
      <t>Х</t>
    </r>
    <r>
      <rPr>
        <b/>
        <sz val="10"/>
        <color theme="1"/>
        <rFont val="Calibri"/>
        <family val="2"/>
        <charset val="204"/>
        <scheme val="minor"/>
      </rPr>
      <t xml:space="preserve"> </t>
    </r>
  </si>
  <si>
    <t>Со всеми новыми КА  договоры заключаются на 11 обязательных БЕ.  В случае если необходимо заключить договора на меньшее кол-во БЕ, заявку нужно подавать с согласованием директора о том, что с КА необходимо заключить ДД только на указанные БЕ и расширение в дальнейшем не потребуется.</t>
  </si>
  <si>
    <t>Нет</t>
  </si>
  <si>
    <t>Покупателем</t>
  </si>
  <si>
    <t>Поставщиком</t>
  </si>
  <si>
    <t>Название БЕ</t>
  </si>
  <si>
    <t>Название документа</t>
  </si>
  <si>
    <t>Дата доверенности</t>
  </si>
  <si>
    <t>Табельный номер подписанта</t>
  </si>
  <si>
    <t> АО "Торговый дом "ПЕРЕКРЕСТОК" </t>
  </si>
  <si>
    <t> ООО "Агроаспект" </t>
  </si>
  <si>
    <t> ООО "КОПЕЙКА-МОСКВА" </t>
  </si>
  <si>
    <t> ООО "Копейка-М.О." </t>
  </si>
  <si>
    <t> ООО "КОПЕЙКА-ВОРОНЕЖ" </t>
  </si>
  <si>
    <t> ООО "КОПЕЙКА-ПОВОЛЖЬЕ" </t>
  </si>
  <si>
    <t> ООО "Агроторг" </t>
  </si>
  <si>
    <t> ООО "Торговая Фирма "Самара-Продукт" </t>
  </si>
  <si>
    <t> ООО "Сладкая жизнь Н.Н." </t>
  </si>
  <si>
    <t> ООО Компания "Урал-Агро-Торг" </t>
  </si>
  <si>
    <t> ООО "ИКС 5 Гипер" </t>
  </si>
  <si>
    <t>RU57</t>
  </si>
  <si>
    <t> ООО "АЛЬТЭКС" </t>
  </si>
  <si>
    <t>RU69</t>
  </si>
  <si>
    <t> ООО "ТОРГОВЫЙ ДОМ "ЛАБАЗ" </t>
  </si>
  <si>
    <t>RU18</t>
  </si>
  <si>
    <t> ООО "Фирма "Омега-97" </t>
  </si>
  <si>
    <t>RU74</t>
  </si>
  <si>
    <t> ООО "СтройИнвест" </t>
  </si>
  <si>
    <t>RU65</t>
  </si>
  <si>
    <t> ООО "КОПЕЙКА-САРОВ" </t>
  </si>
  <si>
    <t>RU70</t>
  </si>
  <si>
    <t> ООО "Купец" </t>
  </si>
  <si>
    <t>RUS3</t>
  </si>
  <si>
    <t> ООО "Агроторг-Самара" </t>
  </si>
  <si>
    <t>RUM6</t>
  </si>
  <si>
    <t> ООО ТД "Рябина" </t>
  </si>
  <si>
    <t>RUS8</t>
  </si>
  <si>
    <t> ООО "СПАР ВЛАДИМИР" </t>
  </si>
  <si>
    <t>RUS9</t>
  </si>
  <si>
    <t> АО "СПАР РИТЭЙЛ" </t>
  </si>
  <si>
    <t>RUU2</t>
  </si>
  <si>
    <t> ЗАО "ПАЛЛАДА ТОРГ" </t>
  </si>
  <si>
    <t>RUT8</t>
  </si>
  <si>
    <t> ООО "РЕГИОН-ПРОДУКТ" </t>
  </si>
  <si>
    <t>RUU1</t>
  </si>
  <si>
    <t> ООО "РЕГИОНПРОДУКТ" </t>
  </si>
  <si>
    <t>RUT9</t>
  </si>
  <si>
    <t> ООО "ГАСТРОНОМ "ЦЕНТРАЛЬНЫЙ" 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</si>
  <si>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</si>
  <si>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</si>
  <si>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</si>
  <si>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</si>
  <si>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</si>
  <si>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</si>
  <si>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</si>
  <si>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</si>
  <si>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</si>
  <si>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</si>
  <si>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</si>
  <si>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</si>
  <si>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</si>
  <si>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</si>
  <si>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</si>
  <si>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</si>
  <si>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</si>
  <si>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</si>
  <si>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</si>
  <si>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</si>
  <si>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</si>
  <si>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</si>
  <si>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GI</t>
  </si>
  <si>
    <t>GJ</t>
  </si>
  <si>
    <t>N0</t>
  </si>
  <si>
    <t>N1</t>
  </si>
  <si>
    <t>N2</t>
  </si>
  <si>
    <t>N3</t>
  </si>
  <si>
    <t>N4</t>
  </si>
  <si>
    <t>N5</t>
  </si>
  <si>
    <t>N6</t>
  </si>
  <si>
    <t>N7</t>
  </si>
  <si>
    <t>N8</t>
  </si>
  <si>
    <t>N9</t>
  </si>
  <si>
    <t>NA</t>
  </si>
  <si>
    <t>NB</t>
  </si>
  <si>
    <t>NC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</si>
  <si>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</si>
  <si>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</si>
  <si>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</si>
  <si>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</si>
  <si>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</si>
  <si>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</si>
  <si>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</si>
  <si>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</si>
  <si>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</si>
  <si>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U1</t>
  </si>
  <si>
    <t>U2</t>
  </si>
  <si>
    <t>U3</t>
  </si>
  <si>
    <t>Фин код инициатора заявки</t>
  </si>
  <si>
    <t>Фин. код  (дополнительный)</t>
  </si>
  <si>
    <t>Формат инициатора</t>
  </si>
  <si>
    <t>Инициатор Заявки Табельный номер / Ф.И.О.</t>
  </si>
  <si>
    <t>%</t>
  </si>
  <si>
    <t>Действует</t>
  </si>
  <si>
    <t xml:space="preserve">Приложение №3 Тип 1 п.п.7.1. 
Вознаграждение (премия) выплачиваемое (предоставляемая) Покупателю в связи с приобретением им у Поставщика определенного количества (объема) товаров.         </t>
  </si>
  <si>
    <t>Условия договора</t>
  </si>
  <si>
    <t>календарных дней</t>
  </si>
  <si>
    <t>рабочих дней</t>
  </si>
  <si>
    <t>рублей</t>
  </si>
  <si>
    <t>Условия (предзаполнены идеальными значениями)</t>
  </si>
  <si>
    <t>Премия Х %</t>
  </si>
  <si>
    <r>
      <t xml:space="preserve">База расчета </t>
    </r>
    <r>
      <rPr>
        <sz val="11"/>
        <color theme="1"/>
        <rFont val="Calibri"/>
        <family val="2"/>
        <charset val="204"/>
        <scheme val="minor"/>
      </rPr>
      <t>(от ТО: Х рублей и выше)</t>
    </r>
  </si>
  <si>
    <r>
      <t>Группа расчета</t>
    </r>
    <r>
      <rPr>
        <sz val="11"/>
        <color theme="1"/>
        <rFont val="Calibri"/>
        <family val="2"/>
        <charset val="204"/>
        <scheme val="minor"/>
      </rPr>
      <t xml:space="preserve"> 
(В случае наличия групп расчета, они указываются в алфавитном порядке с обязательным указанием их названия)</t>
    </r>
  </si>
  <si>
    <t>При необходимости инициатор заявки самостоятельно добавляет недостающие строки.</t>
  </si>
  <si>
    <t>ДС УПД</t>
  </si>
  <si>
    <t>ДС на возврат нереализованного товара ТС Карусель (для непрод.товара)</t>
  </si>
  <si>
    <t>ДС на возврат нереализованного товара ТС Пятерочка (для непрод.товара)</t>
  </si>
  <si>
    <t>ДС на возврат нереализованного товара ТС Перекресток (для непрод.товара)</t>
  </si>
  <si>
    <t>ДС к заключению вместе с Договором поставки</t>
  </si>
  <si>
    <r>
      <t>Наличие протокола разногласий (указать Да или Нет)</t>
    </r>
    <r>
      <rPr>
        <b/>
        <sz val="10"/>
        <color rgb="FFFF0000"/>
        <rFont val="Calibri"/>
        <family val="2"/>
        <charset val="204"/>
        <scheme val="minor"/>
      </rPr>
      <t xml:space="preserve"> (Наличие протокола разногласий, только с согласованием Директора)</t>
    </r>
  </si>
  <si>
    <t>Наименование группы расчета</t>
  </si>
  <si>
    <t>CC_DECLARER_PHONE</t>
  </si>
  <si>
    <t>CC_DECLARER_FISCAL_CODE</t>
  </si>
  <si>
    <t>CC_DECLARER_FORMAT</t>
  </si>
  <si>
    <t>CC_KA_APPLIC_NAME</t>
  </si>
  <si>
    <t>CC_KA_APPLIC_INN</t>
  </si>
  <si>
    <t>CC_KA_NUM</t>
  </si>
  <si>
    <t>CC_KA_CONTACT_FIO</t>
  </si>
  <si>
    <t>CC_KA_CONTACT_PHONE</t>
  </si>
  <si>
    <t>CC_KA_CONTACT_EMAIL</t>
  </si>
  <si>
    <t>SAPDM_UI_CC_CT</t>
  </si>
  <si>
    <t>PAY_TERM_3_1</t>
  </si>
  <si>
    <t>PAY_TERM_3_2</t>
  </si>
  <si>
    <t>PAY_TERM_3_3</t>
  </si>
  <si>
    <t>PAY_TERM_3_4</t>
  </si>
  <si>
    <t>PAY_TERM_3_5</t>
  </si>
  <si>
    <t>FINES_8_1_1</t>
  </si>
  <si>
    <t>FINES_8_1_2</t>
  </si>
  <si>
    <t>FINES_PROMO_8_4_MIN</t>
  </si>
  <si>
    <t>FINES_OUT_8_5_MAX</t>
  </si>
  <si>
    <t>SHIP_SAT_15</t>
  </si>
  <si>
    <t>SHIP_SUN_15_1</t>
  </si>
  <si>
    <t>AA_UPD</t>
  </si>
  <si>
    <t>AA_RET_5</t>
  </si>
  <si>
    <t>AA_RET_X</t>
  </si>
  <si>
    <t>AA_RET_KA</t>
  </si>
  <si>
    <t>AA_PROTO</t>
  </si>
  <si>
    <t>CC_DECLARER</t>
  </si>
  <si>
    <t>CC_KA_NEW</t>
  </si>
  <si>
    <t>Гипермаркет</t>
  </si>
  <si>
    <t>Дискаунтер</t>
  </si>
  <si>
    <t>Супермаркет</t>
  </si>
  <si>
    <t>GK</t>
  </si>
  <si>
    <t>S0</t>
  </si>
  <si>
    <t>F1</t>
  </si>
  <si>
    <t>F2</t>
  </si>
  <si>
    <t>F3</t>
  </si>
  <si>
    <t>F4</t>
  </si>
  <si>
    <t>Табиельный номер обязательно для заполнения</t>
  </si>
  <si>
    <t>Указать время, не более которого, с момента отправки Заказа Покупателем, Поставщик обязан предоставить информацию о поставке Покупателю (EDI-документ ORDRSP – «информация о поставке»). Без согласования логистов допустимы условия 1 - 8 рабочих часов</t>
  </si>
  <si>
    <t xml:space="preserve">Х </t>
  </si>
  <si>
    <t>CC</t>
  </si>
  <si>
    <t>$DOCUMENT_VERSION$</t>
  </si>
  <si>
    <t>$DOCUMENT_TYPE$</t>
  </si>
  <si>
    <t>AA_STM</t>
  </si>
  <si>
    <t>ДС STM</t>
  </si>
  <si>
    <t>AA_MRBC</t>
  </si>
  <si>
    <t>ДС Меркурий штрих-код</t>
  </si>
  <si>
    <t>AA_PICKUP</t>
  </si>
  <si>
    <t>ДС самовывоз</t>
  </si>
  <si>
    <t xml:space="preserve">Основной договор  Порядок размещения заказа. </t>
  </si>
  <si>
    <t>Указать время – час , с которого начинается рабочее время в организации поставщика ( в пределах 0-23)</t>
  </si>
  <si>
    <t>Указать время – час , в который  заканчивается рабочее время в организации поставщика ( в пределах 0-23)</t>
  </si>
  <si>
    <t>SHIP_PICUP</t>
  </si>
  <si>
    <t>Укажите возможность осуществление, Поставщиком, поставки в Субботу. Обязательно требуется поставка хотя бы в один из выходных, иначе потребуется согласование Логистов.</t>
  </si>
  <si>
    <t>Укажите возможность осуществление, Поставщиком, поставки в Воскресенье.  Обязательно требуется поставка хотя бы в один из выходных, иначе потребуется согласование Логистов.</t>
  </si>
  <si>
    <r>
      <rPr>
        <b/>
        <sz val="8"/>
        <color theme="1"/>
        <rFont val="Calibri"/>
        <family val="2"/>
        <charset val="204"/>
        <scheme val="minor"/>
      </rPr>
      <t>8.1.1</t>
    </r>
    <r>
      <rPr>
        <sz val="8"/>
        <color theme="1"/>
        <rFont val="Calibri"/>
        <family val="2"/>
        <charset val="204"/>
        <scheme val="minor"/>
      </rPr>
      <t xml:space="preserve"> Штраф за поставку некачественного Товара (за исключением категории «Фрукты и овощи»), в том числе несоответствующего санитарно-эпидемиологическим требованиям и/или создающего угрозу жизни и здоровью потребителей Покупатель вправе потребовать от Поставщика уплаты неустойки в размере</t>
    </r>
  </si>
  <si>
    <t>FINES_8_1_1_1</t>
  </si>
  <si>
    <r>
      <rPr>
        <b/>
        <sz val="8"/>
        <color theme="1"/>
        <rFont val="Calibri"/>
        <family val="2"/>
        <charset val="204"/>
        <scheme val="minor"/>
      </rPr>
      <t xml:space="preserve">8.1.1.1 </t>
    </r>
    <r>
      <rPr>
        <sz val="8"/>
        <color theme="1"/>
        <rFont val="Calibri"/>
        <family val="2"/>
        <charset val="204"/>
        <scheme val="minor"/>
      </rPr>
      <t xml:space="preserve"> Штраф за поставку некачественного Товара категории «Фрукты и овощи» Покупатель вправе потребовать от Поставщика уплаты неустойки в размере </t>
    </r>
  </si>
  <si>
    <r>
      <rPr>
        <b/>
        <sz val="8"/>
        <color theme="1"/>
        <rFont val="Calibri"/>
        <family val="2"/>
        <charset val="204"/>
        <scheme val="minor"/>
      </rPr>
      <t>8.1.2</t>
    </r>
    <r>
      <rPr>
        <sz val="8"/>
        <color theme="1"/>
        <rFont val="Calibri"/>
        <family val="2"/>
        <charset val="204"/>
        <scheme val="minor"/>
      </rPr>
      <t xml:space="preserve"> Штраф за поставку алкогольной продукции, подлежащей обязательной маркировке в соответствии с требованиями законодательства, с акцизными или федеральными специальными марками, не соответствующими требованиям законодательства, Покупатель имеет право требовать с Поставщика уплаты неустойки в размере</t>
    </r>
  </si>
  <si>
    <t>Минимальный уровень выполнения заказа</t>
  </si>
  <si>
    <t>Но не более</t>
  </si>
  <si>
    <t>SHIP_DD_2_2</t>
  </si>
  <si>
    <t>FINES_UNDERSUPPLY_8_3_MIN</t>
  </si>
  <si>
    <t>FINES_OUT_8_5</t>
  </si>
  <si>
    <t>FINES_INVOICE_8_6</t>
  </si>
  <si>
    <t>SHIP_DD_2_3</t>
  </si>
  <si>
    <t>FINES_8_2</t>
  </si>
  <si>
    <t>SHIP_DD_2_3_1</t>
  </si>
  <si>
    <t>SHIP_DD_2_3_2</t>
  </si>
  <si>
    <t>FINES_PROMO_8_4</t>
  </si>
  <si>
    <t>FINES_UNDERSUPPLY_8_3</t>
  </si>
  <si>
    <t>FINES_INVOICE_8_7</t>
  </si>
  <si>
    <t>FINES_INVOICE_8_7_MAX</t>
  </si>
  <si>
    <r>
      <t xml:space="preserve">Указать время – час , не позже которого должен быть направлен Поставщику заказ. </t>
    </r>
    <r>
      <rPr>
        <u/>
        <sz val="8"/>
        <color theme="1"/>
        <rFont val="Calibri"/>
        <family val="2"/>
        <charset val="204"/>
        <scheme val="minor"/>
      </rPr>
      <t>Без согласования логистов допустимы условия 15-18</t>
    </r>
  </si>
  <si>
    <r>
      <rPr>
        <b/>
        <sz val="8"/>
        <color theme="1"/>
        <rFont val="Calibri"/>
        <family val="2"/>
        <charset val="204"/>
        <scheme val="minor"/>
      </rPr>
      <t xml:space="preserve">8.2 </t>
    </r>
    <r>
      <rPr>
        <sz val="8"/>
        <color theme="1"/>
        <rFont val="Calibri"/>
        <family val="2"/>
        <charset val="204"/>
        <scheme val="minor"/>
      </rPr>
      <t xml:space="preserve"> Штраф в случае поставки Товара, на котором, а равно на этикетках, упаковке (таре) которого, незаконно размещены товарный знак, знак обслуживания, наименование места происхождения Товара или сходные с ними обозначения, Поставщик, помимо возмещения понесенных Покупателем расходов, обязан уплатить Покупателю неустойку в размере</t>
    </r>
  </si>
  <si>
    <r>
      <rPr>
        <b/>
        <sz val="8"/>
        <color theme="1"/>
        <rFont val="Calibri"/>
        <family val="2"/>
        <charset val="204"/>
        <scheme val="minor"/>
      </rPr>
      <t>8.3</t>
    </r>
    <r>
      <rPr>
        <sz val="8"/>
        <color theme="1"/>
        <rFont val="Calibri"/>
        <family val="2"/>
        <charset val="204"/>
        <scheme val="minor"/>
      </rPr>
      <t xml:space="preserve"> Штраф за каждый факт недопоставки Товара по согласованному Заказу, Покупатель имеет право требовать от Поставщика уплаты неустойки в размере</t>
    </r>
  </si>
  <si>
    <r>
      <rPr>
        <b/>
        <sz val="8"/>
        <color theme="1"/>
        <rFont val="Calibri"/>
        <family val="2"/>
        <charset val="204"/>
        <scheme val="minor"/>
      </rPr>
      <t xml:space="preserve">8.4 </t>
    </r>
    <r>
      <rPr>
        <sz val="8"/>
        <color theme="1"/>
        <rFont val="Calibri"/>
        <family val="2"/>
        <charset val="204"/>
        <scheme val="minor"/>
      </rPr>
      <t>Штраф за каждый факт недопоставки Товара по Заказу под согласованную Сторонами промо-акцию, Покупатель имеет право требовать от Поставщика уплаты неустойки в размере</t>
    </r>
  </si>
  <si>
    <r>
      <rPr>
        <b/>
        <sz val="8"/>
        <color theme="1"/>
        <rFont val="Calibri"/>
        <family val="2"/>
        <charset val="204"/>
        <scheme val="minor"/>
      </rPr>
      <t>8.5</t>
    </r>
    <r>
      <rPr>
        <sz val="8"/>
        <color theme="1"/>
        <rFont val="Calibri"/>
        <family val="2"/>
        <charset val="204"/>
        <scheme val="minor"/>
      </rPr>
      <t xml:space="preserve"> Штраф за каждый факт просрочки вывоза Товара в соответствии с условиями Договора, Покупатель имеет право требовать от Поставщика уплаты неустойки в размере</t>
    </r>
  </si>
  <si>
    <r>
      <rPr>
        <b/>
        <sz val="8"/>
        <color theme="1"/>
        <rFont val="Calibri"/>
        <family val="2"/>
        <charset val="204"/>
        <scheme val="minor"/>
      </rPr>
      <t xml:space="preserve">8.6 </t>
    </r>
    <r>
      <rPr>
        <sz val="8"/>
        <color theme="1"/>
        <rFont val="Calibri"/>
        <family val="2"/>
        <charset val="204"/>
        <scheme val="minor"/>
      </rPr>
      <t xml:space="preserve">Штраф в случае непредоставления Поставщиком Покупателю счета-фактуры, в том числе корректировочного или исправленного счета – фактуры либо УПД/УКД, в том числе корректных (корректно исправленных) УПД/УКД (при применении Сторонами УПД/УКД) в течение 1 месяца с момента истечения срока, предусмотренного Договором, Покупатель имеет право требовать от Поставщика уплаты неустойки в размере </t>
    </r>
  </si>
  <si>
    <r>
      <rPr>
        <b/>
        <sz val="8"/>
        <color theme="1"/>
        <rFont val="Calibri"/>
        <family val="2"/>
        <charset val="204"/>
        <scheme val="minor"/>
      </rPr>
      <t xml:space="preserve">8.7 </t>
    </r>
    <r>
      <rPr>
        <sz val="8"/>
        <color theme="1"/>
        <rFont val="Calibri"/>
        <family val="2"/>
        <charset val="204"/>
        <scheme val="minor"/>
      </rPr>
      <t xml:space="preserve">Штраф в случае нарушения Поставщиком требований Договора, предусмотренных в «Гарантиях по избежанию недружественного влияния», которые размещены на сайте Покупателя по адресу: ______________, Поставщик обязан выплатить Покупателю неустойку в размере </t>
    </r>
  </si>
  <si>
    <r>
      <rPr>
        <b/>
        <sz val="10"/>
        <color theme="1"/>
        <rFont val="Calibri"/>
        <family val="2"/>
        <charset val="204"/>
        <scheme val="minor"/>
      </rPr>
      <t>2.2</t>
    </r>
    <r>
      <rPr>
        <sz val="10"/>
        <color theme="1"/>
        <rFont val="Calibri"/>
        <family val="2"/>
        <charset val="204"/>
        <scheme val="minor"/>
      </rPr>
      <t xml:space="preserve">  Заказ должен быть направлен Поставщику не позднее ____ часов по Московскому времени.</t>
    </r>
  </si>
  <si>
    <r>
      <rPr>
        <b/>
        <sz val="10"/>
        <color theme="1"/>
        <rFont val="Calibri"/>
        <family val="2"/>
        <charset val="204"/>
        <scheme val="minor"/>
      </rPr>
      <t>2.3</t>
    </r>
    <r>
      <rPr>
        <sz val="10"/>
        <color theme="1"/>
        <rFont val="Calibri"/>
        <family val="2"/>
        <charset val="204"/>
        <scheme val="minor"/>
      </rPr>
      <t xml:space="preserve"> Указать время, не более которого, с момента отправки Заказа Покупателем, Поставщик обязан предоставить информацию о поставке Покупателю</t>
    </r>
  </si>
  <si>
    <r>
      <rPr>
        <b/>
        <sz val="10"/>
        <color theme="1"/>
        <rFont val="Calibri"/>
        <family val="2"/>
        <charset val="204"/>
        <scheme val="minor"/>
      </rPr>
      <t xml:space="preserve">2.3 </t>
    </r>
    <r>
      <rPr>
        <sz val="10"/>
        <color theme="1"/>
        <rFont val="Calibri"/>
        <family val="2"/>
        <charset val="204"/>
        <scheme val="minor"/>
      </rPr>
      <t>Рабочие часы в организации поставщика с (по Московскому времени)</t>
    </r>
  </si>
  <si>
    <r>
      <rPr>
        <b/>
        <sz val="10"/>
        <color theme="1"/>
        <rFont val="Calibri"/>
        <family val="2"/>
        <charset val="204"/>
        <scheme val="minor"/>
      </rPr>
      <t>2.3</t>
    </r>
    <r>
      <rPr>
        <sz val="10"/>
        <color theme="1"/>
        <rFont val="Calibri"/>
        <family val="2"/>
        <charset val="204"/>
        <scheme val="minor"/>
      </rPr>
      <t xml:space="preserve"> Рабочие часы в организации поставщика по (по Московскому времени)</t>
    </r>
  </si>
  <si>
    <r>
      <rPr>
        <b/>
        <sz val="10"/>
        <color theme="1"/>
        <rFont val="Calibri"/>
        <family val="2"/>
        <charset val="204"/>
        <scheme val="minor"/>
      </rPr>
      <t>1.1</t>
    </r>
    <r>
      <rPr>
        <sz val="10"/>
        <color theme="1"/>
        <rFont val="Calibri"/>
        <family val="2"/>
        <charset val="204"/>
        <scheme val="minor"/>
      </rPr>
      <t xml:space="preserve">  Стороны определили, что расчет количества паллет и автомашин, подлежащих  самовывозу осуществляется (выбрать одно из условий). Если условие вами не выбрано, то по умолчанию  "Покупателем"</t>
    </r>
  </si>
  <si>
    <r>
      <t xml:space="preserve">1.20 </t>
    </r>
    <r>
      <rPr>
        <sz val="10"/>
        <color theme="1"/>
        <rFont val="Calibri"/>
        <family val="2"/>
        <charset val="204"/>
        <scheme val="minor"/>
      </rPr>
      <t>(Возможность поставки в субботу)</t>
    </r>
  </si>
  <si>
    <r>
      <t xml:space="preserve">1.20 </t>
    </r>
    <r>
      <rPr>
        <sz val="10"/>
        <color theme="1"/>
        <rFont val="Calibri"/>
        <family val="2"/>
        <charset val="204"/>
        <scheme val="minor"/>
      </rPr>
      <t>(Возможность поставки в воскресенье)</t>
    </r>
  </si>
  <si>
    <t>Х</t>
  </si>
  <si>
    <t>RUW1</t>
  </si>
  <si>
    <t>RUW2</t>
  </si>
  <si>
    <t>RU24</t>
  </si>
  <si>
    <t>RUW3</t>
  </si>
  <si>
    <t>RU72</t>
  </si>
  <si>
    <t>ООО "Развитие малых форматов"</t>
  </si>
  <si>
    <t>ООО "Развитие малых форматов регионы"</t>
  </si>
  <si>
    <t>ООО "ПРОДМИКС-К"</t>
  </si>
  <si>
    <t>АО "Уфимский гастроном"</t>
  </si>
  <si>
    <t>АО "Перекресток вкусов"</t>
  </si>
  <si>
    <t xml:space="preserve">Приложение № 3 </t>
  </si>
  <si>
    <t>cуммы НДС</t>
  </si>
  <si>
    <t>но не менее</t>
  </si>
  <si>
    <t>ООО "Кока-Кола ЭйчБиСи Евразия"</t>
  </si>
  <si>
    <t>Сладков Е.М.</t>
  </si>
  <si>
    <t>sladkove@terralink.ru</t>
  </si>
  <si>
    <t>AA</t>
  </si>
  <si>
    <t>BB</t>
  </si>
  <si>
    <t>Первая первой</t>
  </si>
  <si>
    <t>Вторая второй</t>
  </si>
  <si>
    <t>Третья третьей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</si>
</sst>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Times New Roman"/>
      <family val="1"/>
      <charset val="204"/>
    </font>
    <font>
      <sz val="8"/>
      <color theme="1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b/>
      <sz val="8"/>
      <color rgb="FFFF0000"/>
      <name val="Calibri"/>
      <family val="2"/>
      <charset val="204"/>
      <scheme val="minor"/>
    </font>
    <font>
      <b/>
      <sz val="10"/>
      <color rgb="FFFF0000"/>
      <name val="Calibri"/>
      <family val="2"/>
      <charset val="204"/>
      <scheme val="minor"/>
    </font>
    <font>
      <sz val="8"/>
      <color rgb="FFFF0000"/>
      <name val="Calibri"/>
      <family val="2"/>
      <charset val="204"/>
      <scheme val="minor"/>
    </font>
    <font>
      <b/>
      <sz val="10"/>
      <color theme="1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u/>
      <sz val="8"/>
      <color theme="1"/>
      <name val="Calibri"/>
      <family val="2"/>
      <charset val="204"/>
      <scheme val="minor"/>
    </font>
    <font>
      <b/>
      <sz val="10"/>
      <color rgb="FFFF000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b/>
      <sz val="8"/>
      <color rgb="FFFF0000"/>
      <name val="Calibri"/>
      <family val="2"/>
      <charset val="204"/>
    </font>
    <font>
      <sz val="8"/>
      <color rgb="FF000000"/>
      <name val="Tahoma"/>
      <family val="2"/>
      <charset val="204"/>
    </font>
    <font>
      <sz val="8"/>
      <color rgb="FFFF0000"/>
      <name val="Tahoma"/>
      <family val="2"/>
      <charset val="204"/>
    </font>
    <font>
      <b/>
      <sz val="11"/>
      <name val="Times New Roman"/>
      <family val="1"/>
      <charset val="204"/>
    </font>
    <font>
      <sz val="9"/>
      <color rgb="FFFF0000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3">
    <xf numFmtId="0" fontId="0" fillId="0" borderId="0"/>
    <xf numFmtId="0" fontId="17" fillId="0" borderId="0" applyNumberFormat="0" applyFill="0" applyBorder="0" applyAlignment="0" applyProtection="0"/>
    <xf numFmtId="2" fontId="8" fillId="7" borderId="3" applyFill="0">
      <alignment horizontal="center" vertical="center" wrapText="1"/>
      <protection locked="0"/>
    </xf>
  </cellStyleXfs>
  <cellXfs count="173">
    <xf numFmtId="0" fontId="0" fillId="0" borderId="0" xfId="0"/>
    <xf numFmtId="0" fontId="1" fillId="0" borderId="0" xfId="0" applyFont="1"/>
    <xf numFmtId="0" fontId="0" fillId="0" borderId="0" xfId="0"/>
    <xf numFmtId="0" fontId="0" fillId="0" borderId="0" xfId="0" applyFont="1"/>
    <xf numFmtId="0" fontId="10" fillId="0" borderId="1" xfId="0" applyFont="1" applyFill="1" applyBorder="1" applyAlignment="1">
      <alignment vertical="center" wrapText="1"/>
    </xf>
    <xf numFmtId="0" fontId="0" fillId="2" borderId="0" xfId="0" applyFill="1"/>
    <xf numFmtId="0" fontId="12" fillId="2" borderId="0" xfId="0" applyFont="1" applyFill="1" applyProtection="1"/>
    <xf numFmtId="0" fontId="11" fillId="2" borderId="0" xfId="0" applyFont="1" applyFill="1" applyProtection="1"/>
    <xf numFmtId="0" fontId="0" fillId="2" borderId="0" xfId="0" applyFill="1" applyProtection="1"/>
    <xf numFmtId="0" fontId="0" fillId="0" borderId="5" xfId="0" applyFill="1" applyBorder="1" applyAlignment="1" applyProtection="1">
      <alignment vertical="center" wrapText="1"/>
      <protection locked="0"/>
    </xf>
    <xf numFmtId="0" fontId="0" fillId="0" borderId="1" xfId="0" applyBorder="1" applyProtection="1">
      <protection locked="0"/>
    </xf>
    <xf numFmtId="0" fontId="0" fillId="0" borderId="0" xfId="0" applyProtection="1"/>
    <xf numFmtId="0" fontId="14" fillId="0" borderId="0" xfId="0" applyFont="1" applyProtection="1"/>
    <xf numFmtId="0" fontId="4" fillId="0" borderId="7" xfId="0" applyFont="1" applyBorder="1" applyAlignment="1" applyProtection="1">
      <alignment horizontal="left" vertical="center"/>
    </xf>
    <xf numFmtId="0" fontId="0" fillId="0" borderId="1" xfId="0" applyBorder="1" applyProtection="1"/>
    <xf numFmtId="0" fontId="4" fillId="0" borderId="7" xfId="0" applyFont="1" applyBorder="1" applyAlignment="1" applyProtection="1">
      <alignment horizontal="left" vertical="center" wrapText="1"/>
    </xf>
    <xf numFmtId="0" fontId="4" fillId="0" borderId="7" xfId="0" applyFont="1" applyFill="1" applyBorder="1" applyAlignment="1" applyProtection="1">
      <alignment horizontal="left" vertical="center" wrapText="1"/>
    </xf>
    <xf numFmtId="0" fontId="14" fillId="0" borderId="0" xfId="0" applyFont="1" applyBorder="1" applyProtection="1"/>
    <xf numFmtId="0" fontId="0" fillId="0" borderId="0" xfId="0" applyBorder="1" applyProtection="1"/>
    <xf numFmtId="0" fontId="9" fillId="0" borderId="0" xfId="0" applyFont="1" applyBorder="1" applyAlignment="1" applyProtection="1">
      <alignment vertical="center" wrapText="1"/>
    </xf>
    <xf numFmtId="0" fontId="0" fillId="0" borderId="0" xfId="0" applyFont="1" applyBorder="1" applyAlignment="1" applyProtection="1">
      <alignment vertical="center" wrapText="1"/>
    </xf>
    <xf numFmtId="0" fontId="0" fillId="0" borderId="1" xfId="0" applyFill="1" applyBorder="1" applyProtection="1"/>
    <xf numFmtId="0" fontId="14" fillId="0" borderId="0" xfId="0" applyFont="1" applyBorder="1" applyAlignment="1" applyProtection="1">
      <alignment vertical="center"/>
    </xf>
    <xf numFmtId="0" fontId="14" fillId="0" borderId="0" xfId="0" applyFont="1" applyAlignment="1" applyProtection="1">
      <alignment vertical="center"/>
    </xf>
    <xf numFmtId="0" fontId="18" fillId="3" borderId="7" xfId="0" applyFont="1" applyFill="1" applyBorder="1" applyAlignment="1" applyProtection="1">
      <alignment vertical="center" wrapText="1"/>
    </xf>
    <xf numFmtId="0" fontId="19" fillId="5" borderId="1" xfId="0" applyFont="1" applyFill="1" applyBorder="1" applyAlignment="1" applyProtection="1">
      <alignment vertical="center"/>
    </xf>
    <xf numFmtId="0" fontId="18" fillId="0" borderId="7" xfId="0" applyFont="1" applyBorder="1" applyAlignment="1" applyProtection="1">
      <alignment vertical="center" wrapText="1"/>
    </xf>
    <xf numFmtId="0" fontId="0" fillId="0" borderId="0" xfId="0" applyFill="1" applyProtection="1"/>
    <xf numFmtId="0" fontId="0" fillId="0" borderId="12" xfId="0" applyBorder="1"/>
    <xf numFmtId="0" fontId="0" fillId="0" borderId="12" xfId="0" applyBorder="1" applyProtection="1"/>
    <xf numFmtId="0" fontId="0" fillId="0" borderId="9" xfId="0" applyBorder="1" applyProtection="1"/>
    <xf numFmtId="0" fontId="0" fillId="0" borderId="7" xfId="0" applyBorder="1" applyProtection="1"/>
    <xf numFmtId="3" fontId="5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4" fillId="0" borderId="9" xfId="0" applyFont="1" applyBorder="1" applyAlignment="1" applyProtection="1">
      <alignment horizontal="left" vertical="center"/>
    </xf>
    <xf numFmtId="0" fontId="4" fillId="0" borderId="15" xfId="0" applyFont="1" applyBorder="1" applyAlignment="1" applyProtection="1">
      <alignment horizontal="left" vertical="center" wrapText="1"/>
    </xf>
    <xf numFmtId="0" fontId="0" fillId="4" borderId="9" xfId="0" applyFill="1" applyBorder="1" applyProtection="1"/>
    <xf numFmtId="0" fontId="0" fillId="4" borderId="11" xfId="0" applyFill="1" applyBorder="1" applyProtection="1"/>
    <xf numFmtId="0" fontId="0" fillId="0" borderId="12" xfId="0" applyFont="1" applyBorder="1"/>
    <xf numFmtId="0" fontId="21" fillId="4" borderId="7" xfId="0" applyFont="1" applyFill="1" applyBorder="1" applyAlignment="1" applyProtection="1">
      <alignment horizontal="center" vertical="center" wrapText="1"/>
    </xf>
    <xf numFmtId="0" fontId="21" fillId="4" borderId="1" xfId="0" applyFont="1" applyFill="1" applyBorder="1" applyAlignment="1" applyProtection="1">
      <alignment horizontal="center" vertical="center" wrapText="1"/>
    </xf>
    <xf numFmtId="0" fontId="0" fillId="0" borderId="0" xfId="0" applyFont="1" applyFill="1" applyProtection="1"/>
    <xf numFmtId="0" fontId="0" fillId="7" borderId="1" xfId="0" applyFill="1" applyBorder="1" applyProtection="1">
      <protection locked="0"/>
    </xf>
    <xf numFmtId="0" fontId="18" fillId="7" borderId="7" xfId="0" applyFont="1" applyFill="1" applyBorder="1" applyAlignment="1" applyProtection="1">
      <alignment vertical="center" wrapText="1"/>
    </xf>
    <xf numFmtId="0" fontId="21" fillId="4" borderId="5" xfId="0" applyFont="1" applyFill="1" applyBorder="1" applyAlignment="1" applyProtection="1">
      <alignment horizontal="center" vertical="center" wrapText="1"/>
    </xf>
    <xf numFmtId="0" fontId="20" fillId="7" borderId="1" xfId="0" applyFont="1" applyFill="1" applyBorder="1" applyAlignment="1" applyProtection="1">
      <alignment vertical="center"/>
    </xf>
    <xf numFmtId="0" fontId="0" fillId="0" borderId="0" xfId="0" applyBorder="1"/>
    <xf numFmtId="0" fontId="5" fillId="0" borderId="0" xfId="0" applyFont="1" applyFill="1" applyBorder="1" applyAlignment="1" applyProtection="1">
      <alignment horizontal="center" vertical="center" wrapText="1"/>
      <protection locked="0"/>
    </xf>
    <xf numFmtId="0" fontId="5" fillId="0" borderId="0" xfId="0" applyFont="1" applyFill="1" applyBorder="1" applyAlignment="1" applyProtection="1">
      <alignment horizontal="center" vertical="center" wrapText="1"/>
      <protection locked="0"/>
    </xf>
    <xf numFmtId="0" fontId="0" fillId="7" borderId="1" xfId="0" applyFill="1" applyBorder="1" applyAlignment="1" applyProtection="1">
      <alignment horizontal="center" vertical="center" wrapText="1"/>
      <protection locked="0"/>
    </xf>
    <xf numFmtId="1" fontId="12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7" borderId="1" xfId="0" applyFont="1" applyFill="1" applyBorder="1" applyAlignment="1" applyProtection="1">
      <alignment horizontal="center" vertical="center" wrapText="1"/>
      <protection locked="0"/>
    </xf>
    <xf numFmtId="0" fontId="15" fillId="4" borderId="28" xfId="0" applyFont="1" applyFill="1" applyBorder="1" applyAlignment="1" applyProtection="1">
      <alignment horizontal="left"/>
    </xf>
    <xf numFmtId="0" fontId="15" fillId="0" borderId="21" xfId="0" applyFont="1" applyBorder="1" applyAlignment="1" applyProtection="1">
      <alignment horizontal="left"/>
    </xf>
    <xf numFmtId="0" fontId="15" fillId="4" borderId="21" xfId="0" applyFont="1" applyFill="1" applyBorder="1" applyAlignment="1" applyProtection="1">
      <alignment horizontal="left"/>
    </xf>
    <xf numFmtId="0" fontId="1" fillId="4" borderId="3" xfId="0" applyFont="1" applyFill="1" applyBorder="1" applyAlignment="1" applyProtection="1">
      <alignment horizontal="center" vertical="center" wrapText="1"/>
    </xf>
    <xf numFmtId="0" fontId="5" fillId="0" borderId="27" xfId="0" applyFont="1" applyFill="1" applyBorder="1" applyAlignment="1" applyProtection="1">
      <alignment horizontal="center" vertical="center" wrapText="1"/>
      <protection locked="0"/>
    </xf>
    <xf numFmtId="0" fontId="1" fillId="4" borderId="12" xfId="0" applyFont="1" applyFill="1" applyBorder="1" applyAlignment="1" applyProtection="1">
      <alignment horizontal="center" vertical="center" wrapText="1"/>
    </xf>
    <xf numFmtId="0" fontId="5" fillId="0" borderId="12" xfId="0" applyFont="1" applyFill="1" applyBorder="1" applyAlignment="1" applyProtection="1">
      <alignment horizontal="center" vertical="center" wrapText="1"/>
      <protection locked="0"/>
    </xf>
    <xf numFmtId="0" fontId="23" fillId="0" borderId="29" xfId="0" applyFont="1" applyFill="1" applyBorder="1" applyAlignment="1">
      <alignment horizontal="center" vertical="center"/>
    </xf>
    <xf numFmtId="0" fontId="5" fillId="4" borderId="1" xfId="0" applyFont="1" applyFill="1" applyBorder="1" applyAlignment="1" applyProtection="1">
      <alignment horizontal="center" vertical="center" wrapText="1"/>
    </xf>
    <xf numFmtId="49" fontId="7" fillId="0" borderId="1" xfId="0" applyNumberFormat="1" applyFont="1" applyFill="1" applyBorder="1" applyAlignment="1" applyProtection="1">
      <alignment vertical="center" wrapText="1"/>
      <protection locked="0"/>
    </xf>
    <xf numFmtId="49" fontId="0" fillId="0" borderId="1" xfId="0" applyNumberFormat="1" applyFill="1" applyBorder="1" applyAlignment="1" applyProtection="1">
      <alignment vertical="center" wrapText="1"/>
      <protection locked="0"/>
    </xf>
    <xf numFmtId="2" fontId="8" fillId="0" borderId="3" xfId="2" applyFill="1">
      <alignment horizontal="center" vertical="center" wrapText="1"/>
      <protection locked="0"/>
    </xf>
    <xf numFmtId="2" fontId="8" fillId="0" borderId="3" xfId="2" applyFill="1" applyProtection="1">
      <alignment horizontal="center" vertical="center" wrapText="1"/>
      <protection locked="0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7" fillId="7" borderId="1" xfId="0" applyFont="1" applyFill="1" applyBorder="1" applyAlignment="1" applyProtection="1">
      <alignment vertical="center" wrapText="1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26" xfId="0" applyFill="1" applyBorder="1"/>
    <xf numFmtId="0" fontId="0" fillId="0" borderId="2" xfId="0" applyFont="1" applyFill="1" applyBorder="1"/>
    <xf numFmtId="0" fontId="0" fillId="0" borderId="2" xfId="0" applyFill="1" applyBorder="1"/>
    <xf numFmtId="0" fontId="0" fillId="0" borderId="0" xfId="0" applyFill="1" applyBorder="1"/>
    <xf numFmtId="0" fontId="0" fillId="0" borderId="0" xfId="0" applyFill="1"/>
    <xf numFmtId="0" fontId="0" fillId="0" borderId="26" xfId="0" applyFill="1" applyBorder="1" applyProtection="1"/>
    <xf numFmtId="0" fontId="0" fillId="0" borderId="2" xfId="0" applyFill="1" applyBorder="1" applyProtection="1"/>
    <xf numFmtId="0" fontId="0" fillId="0" borderId="0" xfId="0" applyFill="1" applyBorder="1" applyProtection="1"/>
    <xf numFmtId="0" fontId="0" fillId="0" borderId="0" xfId="0" applyAlignment="1"/>
    <xf numFmtId="0" fontId="8" fillId="0" borderId="12" xfId="0" applyFont="1" applyFill="1" applyBorder="1" applyAlignment="1" applyProtection="1">
      <alignment horizontal="center" vertical="center" wrapText="1"/>
      <protection locked="0"/>
    </xf>
    <xf numFmtId="0" fontId="8" fillId="7" borderId="12" xfId="0" applyFont="1" applyFill="1" applyBorder="1" applyAlignment="1" applyProtection="1">
      <alignment horizontal="center" vertical="center" wrapText="1"/>
      <protection locked="0"/>
    </xf>
    <xf numFmtId="2" fontId="8" fillId="0" borderId="0" xfId="2" applyFill="1" applyBorder="1">
      <alignment horizontal="center" vertical="center" wrapText="1"/>
      <protection locked="0"/>
    </xf>
    <xf numFmtId="0" fontId="7" fillId="7" borderId="5" xfId="0" applyFont="1" applyFill="1" applyBorder="1" applyAlignment="1" applyProtection="1">
      <alignment vertical="center" wrapText="1"/>
      <protection locked="0"/>
    </xf>
    <xf numFmtId="49" fontId="7" fillId="0" borderId="7" xfId="0" applyNumberFormat="1" applyFont="1" applyFill="1" applyBorder="1" applyAlignment="1" applyProtection="1">
      <alignment vertical="center" wrapText="1"/>
      <protection locked="0"/>
    </xf>
    <xf numFmtId="49" fontId="7" fillId="0" borderId="8" xfId="0" applyNumberFormat="1" applyFont="1" applyFill="1" applyBorder="1" applyAlignment="1" applyProtection="1">
      <alignment vertical="center" wrapText="1"/>
      <protection locked="0"/>
    </xf>
    <xf numFmtId="49" fontId="7" fillId="0" borderId="6" xfId="0" applyNumberFormat="1" applyFont="1" applyFill="1" applyBorder="1" applyAlignment="1" applyProtection="1">
      <alignment vertical="center" wrapText="1"/>
      <protection locked="0"/>
    </xf>
    <xf numFmtId="0" fontId="0" fillId="0" borderId="6" xfId="0" applyBorder="1" applyProtection="1">
      <protection locked="0"/>
    </xf>
    <xf numFmtId="49" fontId="0" fillId="0" borderId="6" xfId="0" applyNumberFormat="1" applyFill="1" applyBorder="1" applyAlignment="1" applyProtection="1">
      <alignment vertical="center" wrapText="1"/>
      <protection locked="0"/>
    </xf>
    <xf numFmtId="0" fontId="0" fillId="0" borderId="25" xfId="0" applyFill="1" applyBorder="1" applyAlignment="1" applyProtection="1">
      <alignment vertical="center" wrapText="1"/>
      <protection locked="0"/>
    </xf>
    <xf numFmtId="0" fontId="1" fillId="4" borderId="22" xfId="0" applyFont="1" applyFill="1" applyBorder="1" applyAlignment="1" applyProtection="1">
      <alignment horizontal="center" vertical="center" wrapText="1"/>
    </xf>
    <xf numFmtId="0" fontId="1" fillId="4" borderId="23" xfId="0" applyFont="1" applyFill="1" applyBorder="1" applyAlignment="1" applyProtection="1">
      <alignment horizontal="center" vertical="center" wrapText="1"/>
    </xf>
    <xf numFmtId="0" fontId="1" fillId="4" borderId="24" xfId="0" applyFont="1" applyFill="1" applyBorder="1" applyAlignment="1" applyProtection="1">
      <alignment horizontal="center" vertical="center" wrapText="1"/>
    </xf>
    <xf numFmtId="0" fontId="1" fillId="4" borderId="1" xfId="0" applyFont="1" applyFill="1" applyBorder="1" applyAlignment="1" applyProtection="1">
      <alignment horizontal="center" vertical="center" wrapText="1"/>
    </xf>
    <xf numFmtId="0" fontId="1" fillId="4" borderId="5" xfId="0" applyFont="1" applyFill="1" applyBorder="1" applyAlignment="1" applyProtection="1">
      <alignment horizontal="center" vertical="center" wrapText="1"/>
    </xf>
    <xf numFmtId="0" fontId="4" fillId="0" borderId="12" xfId="0" applyFont="1" applyFill="1" applyBorder="1" applyAlignment="1" applyProtection="1">
      <alignment horizontal="center" vertical="center" wrapText="1"/>
      <protection locked="0"/>
    </xf>
    <xf numFmtId="0" fontId="4" fillId="0" borderId="21" xfId="0" applyFont="1" applyFill="1" applyBorder="1" applyAlignment="1" applyProtection="1">
      <alignment horizontal="center" vertical="center" wrapText="1"/>
      <protection locked="0"/>
    </xf>
    <xf numFmtId="0" fontId="9" fillId="0" borderId="1" xfId="0" applyFont="1" applyBorder="1" applyAlignment="1" applyProtection="1">
      <alignment horizontal="center" vertical="center" wrapText="1"/>
      <protection locked="0"/>
    </xf>
    <xf numFmtId="0" fontId="9" fillId="0" borderId="5" xfId="0" applyFont="1" applyBorder="1" applyAlignment="1" applyProtection="1">
      <alignment horizontal="center" vertical="center" wrapText="1"/>
      <protection locked="0"/>
    </xf>
    <xf numFmtId="0" fontId="5" fillId="4" borderId="1" xfId="0" applyFont="1" applyFill="1" applyBorder="1" applyAlignment="1" applyProtection="1">
      <alignment horizontal="center" vertical="center" wrapText="1"/>
    </xf>
    <xf numFmtId="0" fontId="5" fillId="4" borderId="5" xfId="0" applyFont="1" applyFill="1" applyBorder="1" applyAlignment="1" applyProtection="1">
      <alignment horizontal="center" vertical="center" wrapText="1"/>
    </xf>
    <xf numFmtId="0" fontId="4" fillId="7" borderId="12" xfId="0" applyFont="1" applyFill="1" applyBorder="1" applyAlignment="1" applyProtection="1">
      <alignment horizontal="center" vertical="center" wrapText="1"/>
      <protection locked="0"/>
    </xf>
    <xf numFmtId="0" fontId="4" fillId="7" borderId="21" xfId="0" applyFont="1" applyFill="1" applyBorder="1" applyAlignment="1" applyProtection="1">
      <alignment horizontal="center" vertical="center" wrapText="1"/>
      <protection locked="0"/>
    </xf>
    <xf numFmtId="0" fontId="9" fillId="7" borderId="1" xfId="0" applyFont="1" applyFill="1" applyBorder="1" applyAlignment="1" applyProtection="1">
      <alignment horizontal="center" vertical="center" wrapText="1"/>
      <protection locked="0"/>
    </xf>
    <xf numFmtId="0" fontId="9" fillId="7" borderId="5" xfId="0" applyFont="1" applyFill="1" applyBorder="1" applyAlignment="1" applyProtection="1">
      <alignment horizontal="center" vertical="center" wrapText="1"/>
      <protection locked="0"/>
    </xf>
    <xf numFmtId="0" fontId="4" fillId="0" borderId="0" xfId="0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Border="1" applyAlignment="1" applyProtection="1">
      <alignment horizontal="center" vertical="center" wrapText="1"/>
      <protection locked="0"/>
    </xf>
    <xf numFmtId="0" fontId="16" fillId="4" borderId="1" xfId="0" applyFont="1" applyFill="1" applyBorder="1" applyAlignment="1" applyProtection="1">
      <alignment horizontal="center"/>
      <protection locked="0"/>
    </xf>
    <xf numFmtId="0" fontId="16" fillId="4" borderId="5" xfId="0" applyFont="1" applyFill="1" applyBorder="1" applyAlignment="1" applyProtection="1">
      <alignment horizontal="center"/>
      <protection locked="0"/>
    </xf>
    <xf numFmtId="0" fontId="3" fillId="0" borderId="10" xfId="0" applyFont="1" applyBorder="1" applyAlignment="1" applyProtection="1">
      <alignment horizontal="center" vertical="center"/>
      <protection locked="0"/>
    </xf>
    <xf numFmtId="0" fontId="3" fillId="0" borderId="11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3" fillId="0" borderId="5" xfId="0" applyFont="1" applyBorder="1" applyAlignment="1" applyProtection="1">
      <alignment horizontal="center" vertical="center"/>
      <protection locked="0"/>
    </xf>
    <xf numFmtId="0" fontId="3" fillId="0" borderId="1" xfId="0" applyFont="1" applyFill="1" applyBorder="1" applyAlignment="1" applyProtection="1">
      <alignment horizontal="center" vertical="center"/>
      <protection locked="0"/>
    </xf>
    <xf numFmtId="0" fontId="3" fillId="0" borderId="5" xfId="0" applyFont="1" applyFill="1" applyBorder="1" applyAlignment="1" applyProtection="1">
      <alignment horizontal="center" vertical="center"/>
      <protection locked="0"/>
    </xf>
    <xf numFmtId="0" fontId="3" fillId="0" borderId="10" xfId="0" applyFont="1" applyBorder="1" applyAlignment="1" applyProtection="1">
      <alignment horizontal="left" vertical="center"/>
      <protection locked="0"/>
    </xf>
    <xf numFmtId="0" fontId="6" fillId="0" borderId="7" xfId="0" applyFont="1" applyFill="1" applyBorder="1" applyAlignment="1" applyProtection="1">
      <alignment horizontal="left" vertical="center" wrapText="1"/>
    </xf>
    <xf numFmtId="0" fontId="6" fillId="0" borderId="1" xfId="0" applyFont="1" applyFill="1" applyBorder="1" applyAlignment="1" applyProtection="1">
      <alignment horizontal="left" vertical="center" wrapText="1"/>
    </xf>
    <xf numFmtId="0" fontId="6" fillId="0" borderId="3" xfId="0" applyFont="1" applyFill="1" applyBorder="1" applyAlignment="1" applyProtection="1">
      <alignment horizontal="left" vertical="center" wrapText="1"/>
    </xf>
    <xf numFmtId="0" fontId="6" fillId="0" borderId="21" xfId="0" applyFont="1" applyFill="1" applyBorder="1" applyAlignment="1" applyProtection="1">
      <alignment horizontal="left" vertical="center" wrapText="1"/>
    </xf>
    <xf numFmtId="0" fontId="5" fillId="0" borderId="7" xfId="0" applyFont="1" applyFill="1" applyBorder="1" applyAlignment="1" applyProtection="1">
      <alignment horizontal="left" vertical="center" wrapText="1"/>
    </xf>
    <xf numFmtId="0" fontId="5" fillId="0" borderId="1" xfId="0" applyFont="1" applyFill="1" applyBorder="1" applyAlignment="1" applyProtection="1">
      <alignment horizontal="left" vertical="center" wrapText="1"/>
    </xf>
    <xf numFmtId="0" fontId="16" fillId="4" borderId="10" xfId="0" applyFont="1" applyFill="1" applyBorder="1" applyAlignment="1" applyProtection="1">
      <alignment horizontal="left"/>
      <protection locked="0"/>
    </xf>
    <xf numFmtId="0" fontId="16" fillId="4" borderId="11" xfId="0" applyFont="1" applyFill="1" applyBorder="1" applyAlignment="1" applyProtection="1">
      <alignment horizontal="left"/>
      <protection locked="0"/>
    </xf>
    <xf numFmtId="0" fontId="16" fillId="0" borderId="12" xfId="0" applyFont="1" applyBorder="1" applyAlignment="1" applyProtection="1">
      <alignment horizontal="center"/>
      <protection locked="0"/>
    </xf>
    <xf numFmtId="0" fontId="16" fillId="0" borderId="2" xfId="0" applyFont="1" applyBorder="1" applyAlignment="1" applyProtection="1">
      <alignment horizontal="center"/>
      <protection locked="0"/>
    </xf>
    <xf numFmtId="0" fontId="16" fillId="0" borderId="4" xfId="0" applyFont="1" applyBorder="1" applyAlignment="1" applyProtection="1">
      <alignment horizontal="center"/>
      <protection locked="0"/>
    </xf>
    <xf numFmtId="0" fontId="15" fillId="4" borderId="10" xfId="0" applyFont="1" applyFill="1" applyBorder="1" applyAlignment="1" applyProtection="1">
      <alignment horizontal="center" vertical="center" wrapText="1"/>
    </xf>
    <xf numFmtId="0" fontId="22" fillId="4" borderId="7" xfId="0" applyFont="1" applyFill="1" applyBorder="1" applyAlignment="1" applyProtection="1">
      <alignment horizontal="left" vertical="center" wrapText="1"/>
    </xf>
    <xf numFmtId="0" fontId="22" fillId="4" borderId="1" xfId="0" applyFont="1" applyFill="1" applyBorder="1" applyAlignment="1" applyProtection="1">
      <alignment horizontal="left" vertical="center" wrapText="1"/>
    </xf>
    <xf numFmtId="0" fontId="22" fillId="4" borderId="5" xfId="0" applyFont="1" applyFill="1" applyBorder="1" applyAlignment="1" applyProtection="1">
      <alignment horizontal="left" vertical="center" wrapText="1"/>
    </xf>
    <xf numFmtId="0" fontId="2" fillId="0" borderId="3" xfId="0" applyFont="1" applyBorder="1" applyAlignment="1" applyProtection="1">
      <alignment horizontal="center" vertical="center" wrapText="1"/>
    </xf>
    <xf numFmtId="0" fontId="2" fillId="0" borderId="2" xfId="0" applyFont="1" applyBorder="1" applyAlignment="1" applyProtection="1">
      <alignment horizontal="center" vertical="center" wrapText="1"/>
    </xf>
    <xf numFmtId="0" fontId="2" fillId="0" borderId="4" xfId="0" applyFont="1" applyBorder="1" applyAlignment="1" applyProtection="1">
      <alignment horizontal="center" vertical="center" wrapText="1"/>
    </xf>
    <xf numFmtId="0" fontId="2" fillId="0" borderId="17" xfId="0" applyFont="1" applyBorder="1" applyAlignment="1" applyProtection="1">
      <alignment horizontal="center" vertical="center" wrapText="1"/>
    </xf>
    <xf numFmtId="0" fontId="2" fillId="0" borderId="18" xfId="0" applyFont="1" applyBorder="1" applyAlignment="1" applyProtection="1">
      <alignment horizontal="center" vertical="center" wrapText="1"/>
    </xf>
    <xf numFmtId="0" fontId="2" fillId="0" borderId="19" xfId="0" applyFont="1" applyBorder="1" applyAlignment="1" applyProtection="1">
      <alignment horizontal="center" vertical="center" wrapText="1"/>
    </xf>
    <xf numFmtId="0" fontId="0" fillId="0" borderId="13" xfId="0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14" xfId="0" applyBorder="1" applyAlignment="1" applyProtection="1">
      <alignment horizontal="center"/>
    </xf>
    <xf numFmtId="0" fontId="1" fillId="4" borderId="9" xfId="0" applyFont="1" applyFill="1" applyBorder="1" applyAlignment="1" applyProtection="1">
      <alignment horizontal="center" vertical="center" wrapText="1"/>
    </xf>
    <xf numFmtId="0" fontId="1" fillId="4" borderId="10" xfId="0" applyFont="1" applyFill="1" applyBorder="1" applyAlignment="1" applyProtection="1">
      <alignment horizontal="center" vertical="center" wrapText="1"/>
    </xf>
    <xf numFmtId="0" fontId="1" fillId="4" borderId="11" xfId="0" applyFont="1" applyFill="1" applyBorder="1" applyAlignment="1" applyProtection="1">
      <alignment horizontal="center" vertical="center" wrapText="1"/>
    </xf>
    <xf numFmtId="0" fontId="17" fillId="0" borderId="16" xfId="1" applyBorder="1" applyAlignment="1" applyProtection="1">
      <alignment horizontal="center" vertical="center"/>
      <protection locked="0"/>
    </xf>
    <xf numFmtId="0" fontId="17" fillId="0" borderId="20" xfId="1" applyBorder="1" applyAlignment="1" applyProtection="1">
      <alignment horizontal="center" vertical="center"/>
      <protection locked="0"/>
    </xf>
    <xf numFmtId="0" fontId="4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6" xfId="0" applyFont="1" applyFill="1" applyBorder="1" applyAlignment="1" applyProtection="1">
      <alignment horizontal="center" vertical="center" wrapText="1"/>
      <protection locked="0"/>
    </xf>
    <xf numFmtId="0" fontId="9" fillId="0" borderId="6" xfId="0" applyFont="1" applyBorder="1" applyAlignment="1" applyProtection="1">
      <alignment horizontal="center" vertical="center" wrapText="1"/>
      <protection locked="0"/>
    </xf>
    <xf numFmtId="0" fontId="9" fillId="0" borderId="25" xfId="0" applyFont="1" applyBorder="1" applyAlignment="1" applyProtection="1">
      <alignment horizontal="center" vertical="center" wrapText="1"/>
      <protection locked="0"/>
    </xf>
    <xf numFmtId="0" fontId="5" fillId="6" borderId="7" xfId="0" applyFont="1" applyFill="1" applyBorder="1" applyAlignment="1" applyProtection="1">
      <alignment horizontal="left" vertical="center" wrapText="1"/>
    </xf>
    <xf numFmtId="0" fontId="5" fillId="6" borderId="1" xfId="0" applyFont="1" applyFill="1" applyBorder="1" applyAlignment="1" applyProtection="1">
      <alignment horizontal="left" vertical="center" wrapText="1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5" xfId="0" applyFont="1" applyFill="1" applyBorder="1" applyAlignment="1" applyProtection="1">
      <alignment horizontal="center" vertical="center" wrapText="1"/>
      <protection locked="0"/>
    </xf>
    <xf numFmtId="0" fontId="5" fillId="6" borderId="8" xfId="0" applyFont="1" applyFill="1" applyBorder="1" applyAlignment="1" applyProtection="1">
      <alignment horizontal="left" vertical="center" wrapText="1"/>
    </xf>
    <xf numFmtId="0" fontId="5" fillId="6" borderId="6" xfId="0" applyFont="1" applyFill="1" applyBorder="1" applyAlignment="1" applyProtection="1">
      <alignment horizontal="left" vertical="center" wrapText="1"/>
    </xf>
    <xf numFmtId="0" fontId="3" fillId="0" borderId="3" xfId="0" applyFont="1" applyFill="1" applyBorder="1" applyAlignment="1" applyProtection="1">
      <alignment horizontal="left" vertical="center" wrapText="1"/>
    </xf>
    <xf numFmtId="0" fontId="3" fillId="0" borderId="21" xfId="0" applyFont="1" applyFill="1" applyBorder="1" applyAlignment="1" applyProtection="1">
      <alignment horizontal="left" vertical="center" wrapText="1"/>
    </xf>
    <xf numFmtId="0" fontId="3" fillId="0" borderId="12" xfId="0" applyFont="1" applyFill="1" applyBorder="1" applyAlignment="1" applyProtection="1">
      <alignment horizontal="center" vertical="center" wrapText="1"/>
    </xf>
    <xf numFmtId="0" fontId="3" fillId="0" borderId="2" xfId="0" applyFont="1" applyFill="1" applyBorder="1" applyAlignment="1" applyProtection="1">
      <alignment horizontal="center" vertical="center" wrapText="1"/>
    </xf>
    <xf numFmtId="0" fontId="3" fillId="0" borderId="21" xfId="0" applyFont="1" applyFill="1" applyBorder="1" applyAlignment="1" applyProtection="1">
      <alignment horizontal="center" vertical="center" wrapText="1"/>
    </xf>
    <xf numFmtId="0" fontId="3" fillId="0" borderId="1" xfId="0" applyFont="1" applyFill="1" applyBorder="1" applyAlignment="1" applyProtection="1">
      <alignment horizontal="center" vertical="center" wrapText="1"/>
    </xf>
    <xf numFmtId="0" fontId="3" fillId="0" borderId="5" xfId="0" applyFont="1" applyFill="1" applyBorder="1" applyAlignment="1" applyProtection="1">
      <alignment horizontal="center" vertical="center" wrapText="1"/>
    </xf>
    <xf numFmtId="0" fontId="3" fillId="0" borderId="6" xfId="0" applyFont="1" applyFill="1" applyBorder="1" applyAlignment="1" applyProtection="1">
      <alignment horizontal="center" vertical="center" wrapText="1"/>
    </xf>
    <xf numFmtId="0" fontId="3" fillId="0" borderId="25" xfId="0" applyFont="1" applyFill="1" applyBorder="1" applyAlignment="1" applyProtection="1">
      <alignment horizontal="center" vertical="center" wrapText="1"/>
    </xf>
    <xf numFmtId="0" fontId="1" fillId="4" borderId="7" xfId="0" applyFont="1" applyFill="1" applyBorder="1" applyAlignment="1" applyProtection="1">
      <alignment horizontal="center" vertical="center" wrapText="1"/>
    </xf>
    <xf numFmtId="9" fontId="1" fillId="4" borderId="1" xfId="0" applyNumberFormat="1" applyFont="1" applyFill="1" applyBorder="1" applyAlignment="1" applyProtection="1">
      <alignment horizontal="center" vertical="center" wrapText="1"/>
    </xf>
    <xf numFmtId="0" fontId="3" fillId="0" borderId="4" xfId="0" applyFont="1" applyFill="1" applyBorder="1" applyAlignment="1" applyProtection="1">
      <alignment horizontal="center" vertical="center" wrapText="1"/>
    </xf>
    <xf numFmtId="0" fontId="5" fillId="0" borderId="1" xfId="0" applyNumberFormat="1" applyFont="1" applyFill="1" applyBorder="1" applyAlignment="1" applyProtection="1">
      <alignment horizontal="center" vertical="center" wrapText="1"/>
      <protection locked="0"/>
    </xf>
    <xf numFmtId="49" fontId="5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5" fillId="0" borderId="12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21" xfId="0" applyNumberFormat="1" applyFont="1" applyFill="1" applyBorder="1" applyAlignment="1" applyProtection="1">
      <alignment horizontal="center" vertical="center" wrapText="1"/>
      <protection locked="0"/>
    </xf>
    <xf numFmtId="0" fontId="8" fillId="0" borderId="12" xfId="0" applyFont="1" applyFill="1" applyBorder="1" applyAlignment="1" applyProtection="1">
      <alignment horizontal="center" vertical="center" wrapText="1"/>
      <protection locked="0"/>
    </xf>
    <xf numFmtId="0" fontId="8" fillId="0" borderId="21" xfId="0" applyFont="1" applyFill="1" applyBorder="1" applyAlignment="1" applyProtection="1">
      <alignment horizontal="center" vertical="center" wrapText="1"/>
      <protection locked="0"/>
    </xf>
    <xf numFmtId="20" fontId="8" fillId="0" borderId="12" xfId="0" applyNumberFormat="1" applyFont="1" applyFill="1" applyBorder="1" applyAlignment="1" applyProtection="1">
      <alignment horizontal="center" vertical="center" wrapText="1"/>
      <protection locked="0"/>
    </xf>
    <xf numFmtId="20" fontId="8" fillId="0" borderId="21" xfId="0" applyNumberFormat="1" applyFont="1" applyFill="1" applyBorder="1" applyAlignment="1" applyProtection="1">
      <alignment horizontal="center" vertical="center" wrapText="1"/>
      <protection locked="0"/>
    </xf>
  </cellXfs>
  <cellStyles count="3">
    <cellStyle name="Hyperlink" xfId="1" builtinId="8"/>
    <cellStyle name="Normal" xfId="0" builtinId="0"/>
    <cellStyle name="Число" xfId="2"/>
  </cellStyles>
  <dxfs count="0"/>
  <tableStyles count="0" defaultTableStyle="TableStyleMedium2" defaultPivotStyle="PivotStyleLight16"/>
  <colors>
    <mruColors>
      <color rgb="FFFFFFCC"/>
      <color rgb="FFFF9966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0</xdr:row>
      <xdr:rowOff>0</xdr:rowOff>
    </xdr:from>
    <xdr:to>
      <xdr:col>2</xdr:col>
      <xdr:colOff>2562225</xdr:colOff>
      <xdr:row>2</xdr:row>
      <xdr:rowOff>152400</xdr:rowOff>
    </xdr:to>
    <xdr:pic>
      <xdr:nvPicPr>
        <xdr:cNvPr id="3" name="Рисунок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427319" y="0"/>
          <a:ext cx="2552700" cy="533400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O304"/>
  <sheetViews>
    <sheetView tabSelected="1" topLeftCell="C1" zoomScale="85" zoomScaleNormal="85" workbookViewId="0">
      <selection activeCell="D13" sqref="D13:I13"/>
    </sheetView>
  </sheetViews>
  <sheetFormatPr defaultColWidth="9.140625" defaultRowHeight="15" x14ac:dyDescent="0.25"/>
  <cols>
    <col min="1" max="1" width="17.5703125" style="11" hidden="1" customWidth="1"/>
    <col min="2" max="2" width="14.42578125" style="27" hidden="1" customWidth="1"/>
    <col min="3" max="3" width="39" style="11" customWidth="1"/>
    <col min="4" max="4" width="34.7109375" style="11" bestFit="1" customWidth="1"/>
    <col min="5" max="5" width="18.5703125" style="11" customWidth="1"/>
    <col min="6" max="6" width="19.42578125" style="11" customWidth="1"/>
    <col min="7" max="7" width="22.5703125" style="11" customWidth="1"/>
    <col min="8" max="8" width="30.7109375" style="11" customWidth="1"/>
    <col min="9" max="9" width="18.42578125" style="11" customWidth="1"/>
    <col min="10" max="11" width="9.140625" style="11"/>
    <col min="12" max="12" width="7.5703125" style="11" customWidth="1"/>
    <col min="13" max="13" width="6.7109375" style="11" customWidth="1"/>
    <col min="14" max="14" width="21.42578125" style="11" customWidth="1"/>
    <col min="15" max="15" width="9.5703125" style="11" customWidth="1"/>
    <col min="16" max="19" width="9.140625" style="11" customWidth="1"/>
    <col min="20" max="16384" width="9.140625" style="11"/>
  </cols>
  <sheetData>
    <row r="1" spans="1:12" x14ac:dyDescent="0.25">
      <c r="A1" s="11" t="s">
        <v>205</v>
      </c>
      <c r="B1" s="27">
        <v>3</v>
      </c>
      <c r="C1" s="30"/>
      <c r="D1" s="51" t="s">
        <v>50</v>
      </c>
      <c r="E1" s="119"/>
      <c r="F1" s="119"/>
      <c r="G1" s="119"/>
      <c r="H1" s="119"/>
      <c r="I1" s="120"/>
    </row>
    <row r="2" spans="1:12" x14ac:dyDescent="0.25">
      <c r="A2" s="11" t="s">
        <v>206</v>
      </c>
      <c r="B2" s="27" t="s">
        <v>204</v>
      </c>
      <c r="C2" s="31"/>
      <c r="D2" s="52" t="s">
        <v>42</v>
      </c>
      <c r="E2" s="121"/>
      <c r="F2" s="122"/>
      <c r="G2" s="122"/>
      <c r="H2" s="122"/>
      <c r="I2" s="123"/>
    </row>
    <row r="3" spans="1:12" x14ac:dyDescent="0.25">
      <c r="C3" s="31"/>
      <c r="D3" s="53" t="s">
        <v>43</v>
      </c>
      <c r="E3" s="104"/>
      <c r="F3" s="104"/>
      <c r="G3" s="104"/>
      <c r="H3" s="104"/>
      <c r="I3" s="105"/>
    </row>
    <row r="4" spans="1:12" ht="18.75" x14ac:dyDescent="0.25">
      <c r="C4" s="128" t="s">
        <v>20</v>
      </c>
      <c r="D4" s="129"/>
      <c r="E4" s="129"/>
      <c r="F4" s="129"/>
      <c r="G4" s="129"/>
      <c r="H4" s="129"/>
      <c r="I4" s="130"/>
    </row>
    <row r="5" spans="1:12" ht="19.5" thickBot="1" x14ac:dyDescent="0.3">
      <c r="C5" s="131" t="s">
        <v>32</v>
      </c>
      <c r="D5" s="132"/>
      <c r="E5" s="132"/>
      <c r="F5" s="132"/>
      <c r="G5" s="132"/>
      <c r="H5" s="132"/>
      <c r="I5" s="133"/>
    </row>
    <row r="6" spans="1:12" ht="15.75" thickBot="1" x14ac:dyDescent="0.3">
      <c r="C6" s="134"/>
      <c r="D6" s="135"/>
      <c r="E6" s="135"/>
      <c r="F6" s="135"/>
      <c r="G6" s="135"/>
      <c r="H6" s="135"/>
      <c r="I6" s="136"/>
    </row>
    <row r="7" spans="1:12" ht="14.25" customHeight="1" x14ac:dyDescent="0.25">
      <c r="A7" s="11" t="s">
        <v>190</v>
      </c>
      <c r="C7" s="33" t="s">
        <v>144</v>
      </c>
      <c r="D7" s="112">
        <v>80000021</v>
      </c>
      <c r="E7" s="112"/>
      <c r="F7" s="106"/>
      <c r="G7" s="106"/>
      <c r="H7" s="106"/>
      <c r="I7" s="107"/>
      <c r="J7" s="12" t="s">
        <v>38</v>
      </c>
      <c r="K7" s="12"/>
      <c r="L7" s="12"/>
    </row>
    <row r="8" spans="1:12" ht="14.25" customHeight="1" x14ac:dyDescent="0.25">
      <c r="A8" s="11" t="s">
        <v>164</v>
      </c>
      <c r="C8" s="13" t="s">
        <v>27</v>
      </c>
      <c r="D8" s="108">
        <v>89188900076</v>
      </c>
      <c r="E8" s="108"/>
      <c r="F8" s="108"/>
      <c r="G8" s="108"/>
      <c r="H8" s="108"/>
      <c r="I8" s="109"/>
      <c r="J8" s="12" t="s">
        <v>38</v>
      </c>
      <c r="K8" s="12"/>
      <c r="L8" s="12"/>
    </row>
    <row r="9" spans="1:12" x14ac:dyDescent="0.25">
      <c r="A9" s="11" t="s">
        <v>165</v>
      </c>
      <c r="C9" s="15" t="s">
        <v>141</v>
      </c>
      <c r="D9" s="108" t="s">
        <v>122</v>
      </c>
      <c r="E9" s="108"/>
      <c r="F9" s="108"/>
      <c r="G9" s="108"/>
      <c r="H9" s="108"/>
      <c r="I9" s="109"/>
      <c r="J9" s="12" t="s">
        <v>38</v>
      </c>
      <c r="K9" s="12"/>
      <c r="L9" s="12"/>
    </row>
    <row r="10" spans="1:12" x14ac:dyDescent="0.25">
      <c r="C10" s="15" t="s">
        <v>142</v>
      </c>
      <c r="D10" s="108" t="s">
        <v>101</v>
      </c>
      <c r="E10" s="108"/>
      <c r="F10" s="108"/>
      <c r="G10" s="108"/>
      <c r="H10" s="108"/>
      <c r="I10" s="109"/>
      <c r="J10" s="12"/>
      <c r="K10" s="12"/>
      <c r="L10" s="12"/>
    </row>
    <row r="11" spans="1:12" x14ac:dyDescent="0.25">
      <c r="A11" s="11" t="s">
        <v>166</v>
      </c>
      <c r="C11" s="15" t="s">
        <v>143</v>
      </c>
      <c r="D11" s="110" t="s">
        <v>194</v>
      </c>
      <c r="E11" s="110"/>
      <c r="F11" s="110"/>
      <c r="G11" s="110"/>
      <c r="H11" s="110"/>
      <c r="I11" s="111"/>
      <c r="J11" s="12" t="s">
        <v>38</v>
      </c>
      <c r="K11" s="12"/>
      <c r="L11" s="12"/>
    </row>
    <row r="12" spans="1:12" x14ac:dyDescent="0.25">
      <c r="A12" s="11" t="s">
        <v>167</v>
      </c>
      <c r="C12" s="15" t="s">
        <v>0</v>
      </c>
      <c r="D12" s="108" t="s">
        <v>265</v>
      </c>
      <c r="E12" s="108"/>
      <c r="F12" s="108"/>
      <c r="G12" s="108"/>
      <c r="H12" s="108"/>
      <c r="I12" s="109"/>
      <c r="J12" s="12" t="s">
        <v>38</v>
      </c>
      <c r="K12" s="12"/>
      <c r="L12" s="12"/>
    </row>
    <row r="13" spans="1:12" ht="15" customHeight="1" x14ac:dyDescent="0.25">
      <c r="A13" s="11" t="s">
        <v>191</v>
      </c>
      <c r="C13" s="15" t="s">
        <v>28</v>
      </c>
      <c r="D13" s="108" t="s">
        <v>26</v>
      </c>
      <c r="E13" s="108"/>
      <c r="F13" s="108"/>
      <c r="G13" s="108"/>
      <c r="H13" s="108"/>
      <c r="I13" s="109"/>
      <c r="J13" s="12" t="s">
        <v>38</v>
      </c>
      <c r="K13" s="12"/>
      <c r="L13" s="12"/>
    </row>
    <row r="14" spans="1:12" ht="15" customHeight="1" x14ac:dyDescent="0.25">
      <c r="A14" s="11" t="s">
        <v>168</v>
      </c>
      <c r="C14" s="15" t="s">
        <v>1</v>
      </c>
      <c r="D14" s="108">
        <v>7701215046</v>
      </c>
      <c r="E14" s="108"/>
      <c r="F14" s="108"/>
      <c r="G14" s="108"/>
      <c r="H14" s="108"/>
      <c r="I14" s="109"/>
      <c r="J14" s="12" t="s">
        <v>38</v>
      </c>
      <c r="K14" s="12"/>
      <c r="L14" s="12"/>
    </row>
    <row r="15" spans="1:12" ht="15.75" customHeight="1" x14ac:dyDescent="0.25">
      <c r="A15" s="11" t="s">
        <v>169</v>
      </c>
      <c r="C15" s="16" t="s">
        <v>21</v>
      </c>
      <c r="D15" s="108">
        <v>7000000037</v>
      </c>
      <c r="E15" s="108"/>
      <c r="F15" s="108"/>
      <c r="G15" s="108"/>
      <c r="H15" s="108"/>
      <c r="I15" s="109"/>
      <c r="J15" s="12" t="s">
        <v>38</v>
      </c>
      <c r="K15" s="12"/>
      <c r="L15" s="12"/>
    </row>
    <row r="16" spans="1:12" ht="15" customHeight="1" x14ac:dyDescent="0.25">
      <c r="A16" s="11" t="s">
        <v>170</v>
      </c>
      <c r="C16" s="15" t="s">
        <v>22</v>
      </c>
      <c r="D16" s="108" t="s">
        <v>266</v>
      </c>
      <c r="E16" s="108"/>
      <c r="F16" s="108"/>
      <c r="G16" s="108"/>
      <c r="H16" s="108"/>
      <c r="I16" s="109"/>
      <c r="J16" s="12" t="s">
        <v>38</v>
      </c>
      <c r="K16" s="12"/>
      <c r="L16" s="12"/>
    </row>
    <row r="17" spans="1:12" ht="15" customHeight="1" x14ac:dyDescent="0.25">
      <c r="A17" s="11" t="s">
        <v>171</v>
      </c>
      <c r="C17" s="15" t="s">
        <v>23</v>
      </c>
      <c r="D17" s="108">
        <v>89188900075</v>
      </c>
      <c r="E17" s="108"/>
      <c r="F17" s="108"/>
      <c r="G17" s="108"/>
      <c r="H17" s="108"/>
      <c r="I17" s="109"/>
      <c r="J17" s="12" t="s">
        <v>38</v>
      </c>
      <c r="K17" s="12"/>
      <c r="L17" s="12"/>
    </row>
    <row r="18" spans="1:12" ht="15.75" customHeight="1" thickBot="1" x14ac:dyDescent="0.3">
      <c r="A18" s="11" t="s">
        <v>172</v>
      </c>
      <c r="C18" s="34" t="s">
        <v>24</v>
      </c>
      <c r="D18" s="140" t="s">
        <v>267</v>
      </c>
      <c r="E18" s="140"/>
      <c r="F18" s="140"/>
      <c r="G18" s="140"/>
      <c r="H18" s="140"/>
      <c r="I18" s="141"/>
      <c r="J18" s="12" t="s">
        <v>38</v>
      </c>
      <c r="K18" s="12"/>
      <c r="L18" s="12"/>
    </row>
    <row r="19" spans="1:12" x14ac:dyDescent="0.25">
      <c r="A19" s="28"/>
      <c r="B19" s="68"/>
      <c r="C19" s="35"/>
      <c r="D19" s="124"/>
      <c r="E19" s="124"/>
      <c r="F19" s="124"/>
      <c r="G19" s="124"/>
      <c r="H19" s="124"/>
      <c r="I19" s="36"/>
    </row>
    <row r="20" spans="1:12" s="40" customFormat="1" ht="28.5" x14ac:dyDescent="0.25">
      <c r="A20" s="37"/>
      <c r="B20" s="69"/>
      <c r="C20" s="38" t="s">
        <v>6</v>
      </c>
      <c r="D20" s="39" t="s">
        <v>49</v>
      </c>
      <c r="E20" s="39" t="s">
        <v>146</v>
      </c>
      <c r="F20" s="39" t="s">
        <v>52</v>
      </c>
      <c r="G20" s="39" t="s">
        <v>7</v>
      </c>
      <c r="H20" s="39" t="s">
        <v>8</v>
      </c>
      <c r="I20" s="43" t="s">
        <v>51</v>
      </c>
    </row>
    <row r="21" spans="1:12" s="27" customFormat="1" ht="30" customHeight="1" x14ac:dyDescent="0.25">
      <c r="A21" s="28"/>
      <c r="B21" s="70"/>
      <c r="C21" s="125" t="s">
        <v>45</v>
      </c>
      <c r="D21" s="126"/>
      <c r="E21" s="126"/>
      <c r="F21" s="126"/>
      <c r="G21" s="126"/>
      <c r="H21" s="126"/>
      <c r="I21" s="127"/>
    </row>
    <row r="22" spans="1:12" x14ac:dyDescent="0.25">
      <c r="A22" s="11" t="str">
        <f t="shared" ref="A22:A48" si="0">IF(E22 = "Да","SAPDM_UI_CC_BU","")</f>
        <v/>
      </c>
      <c r="C22" s="42" t="s">
        <v>9</v>
      </c>
      <c r="D22" s="44" t="s">
        <v>53</v>
      </c>
      <c r="E22" s="41" t="s">
        <v>46</v>
      </c>
      <c r="F22" s="65">
        <v>75937</v>
      </c>
      <c r="G22" s="65"/>
      <c r="H22" s="65"/>
      <c r="I22" s="80"/>
      <c r="J22" s="12" t="s">
        <v>201</v>
      </c>
      <c r="K22" s="12"/>
      <c r="L22" s="12"/>
    </row>
    <row r="23" spans="1:12" x14ac:dyDescent="0.25">
      <c r="A23" s="11" t="str">
        <f t="shared" si="0"/>
        <v>SAPDM_UI_CC_BU</v>
      </c>
      <c r="C23" s="42" t="s">
        <v>10</v>
      </c>
      <c r="D23" s="44" t="s">
        <v>54</v>
      </c>
      <c r="E23" s="41" t="s">
        <v>29</v>
      </c>
      <c r="F23" s="65">
        <v>75937</v>
      </c>
      <c r="G23" s="65"/>
      <c r="H23" s="65"/>
      <c r="I23" s="80"/>
      <c r="J23" s="12" t="s">
        <v>201</v>
      </c>
      <c r="K23" s="12"/>
      <c r="L23" s="12"/>
    </row>
    <row r="24" spans="1:12" x14ac:dyDescent="0.25">
      <c r="A24" s="11" t="str">
        <f t="shared" si="0"/>
        <v/>
      </c>
      <c r="C24" s="42" t="s">
        <v>11</v>
      </c>
      <c r="D24" s="44" t="s">
        <v>55</v>
      </c>
      <c r="E24" s="41" t="s">
        <v>46</v>
      </c>
      <c r="F24" s="65">
        <v>75937</v>
      </c>
      <c r="G24" s="65"/>
      <c r="H24" s="65"/>
      <c r="I24" s="80"/>
      <c r="J24" s="12" t="s">
        <v>201</v>
      </c>
      <c r="K24" s="12"/>
      <c r="L24" s="12"/>
    </row>
    <row r="25" spans="1:12" x14ac:dyDescent="0.25">
      <c r="A25" s="11" t="str">
        <f t="shared" si="0"/>
        <v/>
      </c>
      <c r="C25" s="42" t="s">
        <v>12</v>
      </c>
      <c r="D25" s="44" t="s">
        <v>56</v>
      </c>
      <c r="E25" s="41" t="s">
        <v>46</v>
      </c>
      <c r="F25" s="65">
        <v>75937</v>
      </c>
      <c r="G25" s="65"/>
      <c r="H25" s="65"/>
      <c r="I25" s="80"/>
      <c r="J25" s="12" t="s">
        <v>201</v>
      </c>
      <c r="K25" s="12"/>
      <c r="L25" s="12"/>
    </row>
    <row r="26" spans="1:12" x14ac:dyDescent="0.25">
      <c r="A26" s="11" t="str">
        <f t="shared" si="0"/>
        <v/>
      </c>
      <c r="C26" s="42" t="s">
        <v>13</v>
      </c>
      <c r="D26" s="44" t="s">
        <v>57</v>
      </c>
      <c r="E26" s="41" t="s">
        <v>46</v>
      </c>
      <c r="F26" s="65">
        <v>75937</v>
      </c>
      <c r="G26" s="65"/>
      <c r="H26" s="65"/>
      <c r="I26" s="80"/>
      <c r="J26" s="12" t="s">
        <v>201</v>
      </c>
      <c r="K26" s="12"/>
      <c r="L26" s="12"/>
    </row>
    <row r="27" spans="1:12" x14ac:dyDescent="0.25">
      <c r="A27" s="11" t="str">
        <f t="shared" si="0"/>
        <v/>
      </c>
      <c r="C27" s="42" t="s">
        <v>14</v>
      </c>
      <c r="D27" s="44" t="s">
        <v>58</v>
      </c>
      <c r="E27" s="41" t="s">
        <v>46</v>
      </c>
      <c r="F27" s="65">
        <v>75937</v>
      </c>
      <c r="G27" s="65"/>
      <c r="H27" s="65"/>
      <c r="I27" s="80"/>
      <c r="J27" s="12" t="s">
        <v>201</v>
      </c>
      <c r="K27" s="12"/>
      <c r="L27" s="12"/>
    </row>
    <row r="28" spans="1:12" x14ac:dyDescent="0.25">
      <c r="A28" s="11" t="str">
        <f t="shared" si="0"/>
        <v>SAPDM_UI_CC_BU</v>
      </c>
      <c r="C28" s="42" t="s">
        <v>15</v>
      </c>
      <c r="D28" s="44" t="s">
        <v>59</v>
      </c>
      <c r="E28" s="41" t="s">
        <v>29</v>
      </c>
      <c r="F28" s="65">
        <v>75937</v>
      </c>
      <c r="G28" s="65"/>
      <c r="H28" s="65"/>
      <c r="I28" s="80"/>
      <c r="J28" s="12" t="s">
        <v>201</v>
      </c>
      <c r="K28" s="12"/>
      <c r="L28" s="12"/>
    </row>
    <row r="29" spans="1:12" x14ac:dyDescent="0.25">
      <c r="A29" s="11" t="str">
        <f t="shared" si="0"/>
        <v/>
      </c>
      <c r="C29" s="42" t="s">
        <v>16</v>
      </c>
      <c r="D29" s="44" t="s">
        <v>60</v>
      </c>
      <c r="E29" s="41" t="s">
        <v>46</v>
      </c>
      <c r="F29" s="65">
        <v>75937</v>
      </c>
      <c r="G29" s="65"/>
      <c r="H29" s="65"/>
      <c r="I29" s="80"/>
      <c r="J29" s="12" t="s">
        <v>201</v>
      </c>
      <c r="K29" s="12"/>
      <c r="L29" s="12"/>
    </row>
    <row r="30" spans="1:12" x14ac:dyDescent="0.25">
      <c r="A30" s="11" t="str">
        <f t="shared" si="0"/>
        <v>SAPDM_UI_CC_BU</v>
      </c>
      <c r="C30" s="42" t="s">
        <v>18</v>
      </c>
      <c r="D30" s="44" t="s">
        <v>61</v>
      </c>
      <c r="E30" s="41" t="s">
        <v>29</v>
      </c>
      <c r="F30" s="65">
        <v>75937</v>
      </c>
      <c r="G30" s="65"/>
      <c r="H30" s="65"/>
      <c r="I30" s="80"/>
      <c r="J30" s="12" t="s">
        <v>201</v>
      </c>
      <c r="K30" s="12"/>
      <c r="L30" s="12"/>
    </row>
    <row r="31" spans="1:12" x14ac:dyDescent="0.25">
      <c r="A31" s="11" t="str">
        <f t="shared" si="0"/>
        <v>SAPDM_UI_CC_BU</v>
      </c>
      <c r="C31" s="42" t="s">
        <v>19</v>
      </c>
      <c r="D31" s="44" t="s">
        <v>62</v>
      </c>
      <c r="E31" s="41" t="s">
        <v>29</v>
      </c>
      <c r="F31" s="65">
        <v>75937</v>
      </c>
      <c r="G31" s="65"/>
      <c r="H31" s="65"/>
      <c r="I31" s="80"/>
      <c r="J31" s="12" t="s">
        <v>201</v>
      </c>
      <c r="K31" s="12"/>
      <c r="L31" s="12"/>
    </row>
    <row r="32" spans="1:12" x14ac:dyDescent="0.25">
      <c r="A32" s="11" t="str">
        <f t="shared" si="0"/>
        <v/>
      </c>
      <c r="C32" s="42" t="s">
        <v>17</v>
      </c>
      <c r="D32" s="44" t="s">
        <v>63</v>
      </c>
      <c r="E32" s="41" t="s">
        <v>46</v>
      </c>
      <c r="F32" s="65">
        <v>75937</v>
      </c>
      <c r="G32" s="65"/>
      <c r="H32" s="65"/>
      <c r="I32" s="80"/>
      <c r="J32" s="12" t="s">
        <v>201</v>
      </c>
      <c r="K32" s="12"/>
      <c r="L32" s="12"/>
    </row>
    <row r="33" spans="1:12" x14ac:dyDescent="0.25">
      <c r="A33" s="11" t="str">
        <f t="shared" si="0"/>
        <v/>
      </c>
      <c r="C33" s="81" t="s">
        <v>64</v>
      </c>
      <c r="D33" s="60" t="s">
        <v>65</v>
      </c>
      <c r="E33" s="10" t="s">
        <v>46</v>
      </c>
      <c r="F33" s="60"/>
      <c r="G33" s="60"/>
      <c r="H33" s="61"/>
      <c r="I33" s="9"/>
      <c r="J33" s="12"/>
      <c r="K33" s="12"/>
      <c r="L33" s="12"/>
    </row>
    <row r="34" spans="1:12" x14ac:dyDescent="0.25">
      <c r="A34" s="11" t="str">
        <f t="shared" si="0"/>
        <v/>
      </c>
      <c r="C34" s="81" t="s">
        <v>66</v>
      </c>
      <c r="D34" s="60" t="s">
        <v>67</v>
      </c>
      <c r="E34" s="10" t="s">
        <v>46</v>
      </c>
      <c r="F34" s="60"/>
      <c r="G34" s="60"/>
      <c r="H34" s="61"/>
      <c r="I34" s="9"/>
      <c r="J34" s="12"/>
      <c r="K34" s="12"/>
      <c r="L34" s="12"/>
    </row>
    <row r="35" spans="1:12" x14ac:dyDescent="0.25">
      <c r="A35" s="11" t="str">
        <f t="shared" si="0"/>
        <v/>
      </c>
      <c r="C35" s="81" t="s">
        <v>68</v>
      </c>
      <c r="D35" s="60" t="s">
        <v>69</v>
      </c>
      <c r="E35" s="10" t="s">
        <v>46</v>
      </c>
      <c r="F35" s="60"/>
      <c r="G35" s="60"/>
      <c r="H35" s="61"/>
      <c r="I35" s="9"/>
      <c r="J35" s="12"/>
      <c r="K35" s="12"/>
      <c r="L35" s="12"/>
    </row>
    <row r="36" spans="1:12" x14ac:dyDescent="0.25">
      <c r="A36" s="11" t="str">
        <f t="shared" si="0"/>
        <v/>
      </c>
      <c r="C36" s="81" t="s">
        <v>70</v>
      </c>
      <c r="D36" s="60" t="s">
        <v>71</v>
      </c>
      <c r="E36" s="10" t="s">
        <v>46</v>
      </c>
      <c r="F36" s="60"/>
      <c r="G36" s="60"/>
      <c r="H36" s="61"/>
      <c r="I36" s="9"/>
      <c r="J36" s="12"/>
      <c r="K36" s="12"/>
      <c r="L36" s="12"/>
    </row>
    <row r="37" spans="1:12" x14ac:dyDescent="0.25">
      <c r="A37" s="11" t="str">
        <f t="shared" si="0"/>
        <v/>
      </c>
      <c r="C37" s="81" t="s">
        <v>72</v>
      </c>
      <c r="D37" s="60" t="s">
        <v>73</v>
      </c>
      <c r="E37" s="10" t="s">
        <v>46</v>
      </c>
      <c r="F37" s="60"/>
      <c r="G37" s="60"/>
      <c r="H37" s="61"/>
      <c r="I37" s="9"/>
      <c r="J37" s="12"/>
      <c r="K37" s="12"/>
      <c r="L37" s="12"/>
    </row>
    <row r="38" spans="1:12" x14ac:dyDescent="0.25">
      <c r="A38" s="11" t="str">
        <f t="shared" si="0"/>
        <v/>
      </c>
      <c r="C38" s="81" t="s">
        <v>74</v>
      </c>
      <c r="D38" s="60" t="s">
        <v>75</v>
      </c>
      <c r="E38" s="10" t="s">
        <v>46</v>
      </c>
      <c r="F38" s="60"/>
      <c r="G38" s="60"/>
      <c r="H38" s="61"/>
      <c r="I38" s="9"/>
      <c r="J38" s="12"/>
      <c r="K38" s="12"/>
      <c r="L38" s="12"/>
    </row>
    <row r="39" spans="1:12" x14ac:dyDescent="0.25">
      <c r="C39" s="81" t="s">
        <v>76</v>
      </c>
      <c r="D39" s="60" t="s">
        <v>77</v>
      </c>
      <c r="E39" s="10" t="s">
        <v>46</v>
      </c>
      <c r="F39" s="60"/>
      <c r="G39" s="60"/>
      <c r="H39" s="61"/>
      <c r="I39" s="9"/>
      <c r="J39" s="12"/>
      <c r="K39" s="12"/>
      <c r="L39" s="12"/>
    </row>
    <row r="40" spans="1:12" x14ac:dyDescent="0.25">
      <c r="C40" s="81" t="s">
        <v>82</v>
      </c>
      <c r="D40" s="60" t="s">
        <v>83</v>
      </c>
      <c r="E40" s="10" t="s">
        <v>46</v>
      </c>
      <c r="F40" s="60"/>
      <c r="G40" s="60"/>
      <c r="H40" s="61"/>
      <c r="I40" s="9"/>
      <c r="J40" s="12"/>
      <c r="K40" s="12"/>
      <c r="L40" s="12"/>
    </row>
    <row r="41" spans="1:12" x14ac:dyDescent="0.25">
      <c r="C41" s="81" t="s">
        <v>86</v>
      </c>
      <c r="D41" s="60" t="s">
        <v>87</v>
      </c>
      <c r="E41" s="10" t="s">
        <v>46</v>
      </c>
      <c r="F41" s="60"/>
      <c r="G41" s="60"/>
      <c r="H41" s="61"/>
      <c r="I41" s="9"/>
      <c r="J41" s="12"/>
      <c r="K41" s="12"/>
      <c r="L41" s="12"/>
    </row>
    <row r="42" spans="1:12" x14ac:dyDescent="0.25">
      <c r="C42" s="81" t="s">
        <v>88</v>
      </c>
      <c r="D42" s="60" t="s">
        <v>89</v>
      </c>
      <c r="E42" s="10" t="s">
        <v>46</v>
      </c>
      <c r="F42" s="60"/>
      <c r="G42" s="60"/>
      <c r="H42" s="61"/>
      <c r="I42" s="9"/>
      <c r="J42" s="12"/>
      <c r="K42" s="12"/>
      <c r="L42" s="12"/>
    </row>
    <row r="43" spans="1:12" x14ac:dyDescent="0.25">
      <c r="A43" s="11" t="str">
        <f t="shared" si="0"/>
        <v/>
      </c>
      <c r="C43" s="81" t="s">
        <v>90</v>
      </c>
      <c r="D43" s="60" t="s">
        <v>91</v>
      </c>
      <c r="E43" s="10" t="s">
        <v>46</v>
      </c>
      <c r="F43" s="60"/>
      <c r="G43" s="60"/>
      <c r="H43" s="61"/>
      <c r="I43" s="9"/>
      <c r="J43" s="12"/>
      <c r="K43" s="12"/>
      <c r="L43" s="12"/>
    </row>
    <row r="44" spans="1:12" x14ac:dyDescent="0.25">
      <c r="A44" s="11" t="str">
        <f t="shared" si="0"/>
        <v/>
      </c>
      <c r="C44" s="81" t="s">
        <v>252</v>
      </c>
      <c r="D44" s="60" t="s">
        <v>257</v>
      </c>
      <c r="E44" s="10" t="s">
        <v>46</v>
      </c>
      <c r="F44" s="60"/>
      <c r="G44" s="60"/>
      <c r="H44" s="61"/>
      <c r="I44" s="9"/>
      <c r="J44" s="12"/>
      <c r="K44" s="12"/>
      <c r="L44" s="12"/>
    </row>
    <row r="45" spans="1:12" x14ac:dyDescent="0.25">
      <c r="A45" s="11" t="str">
        <f t="shared" si="0"/>
        <v/>
      </c>
      <c r="C45" s="81" t="s">
        <v>253</v>
      </c>
      <c r="D45" s="60" t="s">
        <v>258</v>
      </c>
      <c r="E45" s="10" t="s">
        <v>46</v>
      </c>
      <c r="F45" s="60"/>
      <c r="G45" s="60"/>
      <c r="H45" s="61"/>
      <c r="I45" s="9"/>
      <c r="J45" s="12"/>
      <c r="K45" s="12"/>
      <c r="L45" s="12"/>
    </row>
    <row r="46" spans="1:12" x14ac:dyDescent="0.25">
      <c r="A46" s="11" t="str">
        <f t="shared" si="0"/>
        <v/>
      </c>
      <c r="C46" s="81" t="s">
        <v>254</v>
      </c>
      <c r="D46" s="60" t="s">
        <v>259</v>
      </c>
      <c r="E46" s="10" t="s">
        <v>46</v>
      </c>
      <c r="F46" s="60"/>
      <c r="G46" s="60"/>
      <c r="H46" s="61"/>
      <c r="I46" s="9"/>
      <c r="J46" s="12"/>
      <c r="K46" s="12"/>
      <c r="L46" s="12"/>
    </row>
    <row r="47" spans="1:12" x14ac:dyDescent="0.25">
      <c r="C47" s="81" t="s">
        <v>255</v>
      </c>
      <c r="D47" s="60" t="s">
        <v>260</v>
      </c>
      <c r="E47" s="10" t="s">
        <v>46</v>
      </c>
      <c r="F47" s="60"/>
      <c r="G47" s="60"/>
      <c r="H47" s="61"/>
      <c r="I47" s="9"/>
      <c r="J47" s="12"/>
      <c r="K47" s="12"/>
      <c r="L47" s="12"/>
    </row>
    <row r="48" spans="1:12" ht="15.75" thickBot="1" x14ac:dyDescent="0.3">
      <c r="A48" s="11" t="str">
        <f t="shared" si="0"/>
        <v/>
      </c>
      <c r="C48" s="82" t="s">
        <v>256</v>
      </c>
      <c r="D48" s="83" t="s">
        <v>261</v>
      </c>
      <c r="E48" s="84" t="s">
        <v>46</v>
      </c>
      <c r="F48" s="83"/>
      <c r="G48" s="83"/>
      <c r="H48" s="85"/>
      <c r="I48" s="86"/>
      <c r="J48" s="12"/>
      <c r="K48" s="12"/>
      <c r="L48" s="12"/>
    </row>
    <row r="49" spans="1:15" x14ac:dyDescent="0.25">
      <c r="A49" s="45"/>
      <c r="B49" s="71"/>
      <c r="C49" s="137" t="s">
        <v>161</v>
      </c>
      <c r="D49" s="138"/>
      <c r="E49" s="138"/>
      <c r="F49" s="138"/>
      <c r="G49" s="138"/>
      <c r="H49" s="138"/>
      <c r="I49" s="139"/>
    </row>
    <row r="50" spans="1:15" x14ac:dyDescent="0.25">
      <c r="A50" s="11" t="s">
        <v>173</v>
      </c>
      <c r="B50" s="27" t="s">
        <v>185</v>
      </c>
      <c r="C50" s="146" t="s">
        <v>157</v>
      </c>
      <c r="D50" s="147"/>
      <c r="E50" s="148" t="s">
        <v>29</v>
      </c>
      <c r="F50" s="148"/>
      <c r="G50" s="148"/>
      <c r="H50" s="148"/>
      <c r="I50" s="149"/>
    </row>
    <row r="51" spans="1:15" x14ac:dyDescent="0.25">
      <c r="A51" s="11" t="s">
        <v>173</v>
      </c>
      <c r="B51" s="27" t="s">
        <v>186</v>
      </c>
      <c r="C51" s="146" t="s">
        <v>159</v>
      </c>
      <c r="D51" s="147"/>
      <c r="E51" s="148" t="s">
        <v>46</v>
      </c>
      <c r="F51" s="148"/>
      <c r="G51" s="148"/>
      <c r="H51" s="148"/>
      <c r="I51" s="149"/>
    </row>
    <row r="52" spans="1:15" x14ac:dyDescent="0.25">
      <c r="A52" s="11" t="s">
        <v>173</v>
      </c>
      <c r="B52" s="27" t="s">
        <v>187</v>
      </c>
      <c r="C52" s="146" t="s">
        <v>160</v>
      </c>
      <c r="D52" s="147"/>
      <c r="E52" s="148" t="s">
        <v>46</v>
      </c>
      <c r="F52" s="148"/>
      <c r="G52" s="148"/>
      <c r="H52" s="148"/>
      <c r="I52" s="149"/>
    </row>
    <row r="53" spans="1:15" x14ac:dyDescent="0.25">
      <c r="A53" s="11" t="s">
        <v>173</v>
      </c>
      <c r="B53" s="27" t="s">
        <v>188</v>
      </c>
      <c r="C53" s="146" t="s">
        <v>158</v>
      </c>
      <c r="D53" s="147"/>
      <c r="E53" s="148" t="s">
        <v>46</v>
      </c>
      <c r="F53" s="148"/>
      <c r="G53" s="148"/>
      <c r="H53" s="148"/>
      <c r="I53" s="149"/>
    </row>
    <row r="54" spans="1:15" ht="15" customHeight="1" x14ac:dyDescent="0.25">
      <c r="A54" s="11" t="s">
        <v>173</v>
      </c>
      <c r="B54" s="27" t="s">
        <v>207</v>
      </c>
      <c r="C54" s="146" t="s">
        <v>208</v>
      </c>
      <c r="D54" s="147"/>
      <c r="E54" s="148" t="s">
        <v>46</v>
      </c>
      <c r="F54" s="148"/>
      <c r="G54" s="148"/>
      <c r="H54" s="148"/>
      <c r="I54" s="149"/>
    </row>
    <row r="55" spans="1:15" ht="15" customHeight="1" x14ac:dyDescent="0.25">
      <c r="A55" s="11" t="s">
        <v>173</v>
      </c>
      <c r="B55" s="27" t="s">
        <v>209</v>
      </c>
      <c r="C55" s="146" t="s">
        <v>210</v>
      </c>
      <c r="D55" s="147"/>
      <c r="E55" s="148" t="s">
        <v>46</v>
      </c>
      <c r="F55" s="148"/>
      <c r="G55" s="148"/>
      <c r="H55" s="148"/>
      <c r="I55" s="149"/>
    </row>
    <row r="56" spans="1:15" ht="15" customHeight="1" x14ac:dyDescent="0.25">
      <c r="A56" s="11" t="s">
        <v>173</v>
      </c>
      <c r="B56" s="27" t="s">
        <v>211</v>
      </c>
      <c r="C56" s="146" t="s">
        <v>212</v>
      </c>
      <c r="D56" s="147"/>
      <c r="E56" s="148" t="s">
        <v>46</v>
      </c>
      <c r="F56" s="148"/>
      <c r="G56" s="148"/>
      <c r="H56" s="148"/>
      <c r="I56" s="149"/>
    </row>
    <row r="57" spans="1:15" ht="33" customHeight="1" thickBot="1" x14ac:dyDescent="0.3">
      <c r="A57" s="11" t="s">
        <v>173</v>
      </c>
      <c r="B57" s="27" t="s">
        <v>189</v>
      </c>
      <c r="C57" s="150" t="s">
        <v>162</v>
      </c>
      <c r="D57" s="151"/>
      <c r="E57" s="148" t="s">
        <v>46</v>
      </c>
      <c r="F57" s="148"/>
      <c r="G57" s="148"/>
      <c r="H57" s="148"/>
      <c r="I57" s="149"/>
    </row>
    <row r="58" spans="1:15" x14ac:dyDescent="0.25">
      <c r="C58" s="87" t="s">
        <v>148</v>
      </c>
      <c r="D58" s="88"/>
      <c r="E58" s="88"/>
      <c r="F58" s="88"/>
      <c r="G58" s="88"/>
      <c r="H58" s="88"/>
      <c r="I58" s="89"/>
      <c r="J58" s="17"/>
      <c r="K58" s="17"/>
      <c r="L58" s="17"/>
      <c r="M58" s="18"/>
      <c r="N58" s="18"/>
    </row>
    <row r="59" spans="1:15" ht="14.45" customHeight="1" x14ac:dyDescent="0.25">
      <c r="C59" s="161" t="s">
        <v>213</v>
      </c>
      <c r="D59" s="90"/>
      <c r="E59" s="162" t="s">
        <v>30</v>
      </c>
      <c r="F59" s="162"/>
      <c r="G59" s="90" t="s">
        <v>2</v>
      </c>
      <c r="H59" s="90"/>
      <c r="I59" s="91"/>
    </row>
    <row r="60" spans="1:15" ht="25.5" customHeight="1" x14ac:dyDescent="0.25">
      <c r="A60" s="11" t="s">
        <v>173</v>
      </c>
      <c r="B60" s="72" t="s">
        <v>225</v>
      </c>
      <c r="C60" s="113" t="s">
        <v>244</v>
      </c>
      <c r="D60" s="114"/>
      <c r="E60" s="164">
        <v>17</v>
      </c>
      <c r="F60" s="165"/>
      <c r="G60" s="157" t="s">
        <v>237</v>
      </c>
      <c r="H60" s="157"/>
      <c r="I60" s="158"/>
      <c r="M60" s="11">
        <v>0</v>
      </c>
      <c r="N60" s="11">
        <v>23</v>
      </c>
      <c r="O60" s="11" t="b">
        <f t="shared" ref="O60:O66" si="1">AND(E60&gt;=M60,E60&lt;=N60,IF(ISBLANK(E60),FALSE,TRUE))</f>
        <v>1</v>
      </c>
    </row>
    <row r="61" spans="1:15" ht="30.75" customHeight="1" x14ac:dyDescent="0.25">
      <c r="A61" s="11" t="s">
        <v>173</v>
      </c>
      <c r="B61" s="72" t="s">
        <v>229</v>
      </c>
      <c r="C61" s="113" t="s">
        <v>245</v>
      </c>
      <c r="D61" s="114"/>
      <c r="E61" s="166">
        <v>4</v>
      </c>
      <c r="F61" s="166"/>
      <c r="G61" s="157" t="s">
        <v>202</v>
      </c>
      <c r="H61" s="157"/>
      <c r="I61" s="158"/>
      <c r="M61" s="11">
        <v>1</v>
      </c>
      <c r="N61" s="11">
        <v>8</v>
      </c>
      <c r="O61" s="11" t="b">
        <f>AND(E61&gt;=M61,E61&lt;=N61,IF(ISBLANK(E61),FALSE,TRUE))</f>
        <v>1</v>
      </c>
    </row>
    <row r="62" spans="1:15" ht="30.75" customHeight="1" x14ac:dyDescent="0.25">
      <c r="A62" s="11" t="s">
        <v>173</v>
      </c>
      <c r="B62" s="72" t="s">
        <v>231</v>
      </c>
      <c r="C62" s="115" t="s">
        <v>246</v>
      </c>
      <c r="D62" s="116"/>
      <c r="E62" s="167"/>
      <c r="F62" s="168"/>
      <c r="G62" s="154" t="s">
        <v>214</v>
      </c>
      <c r="H62" s="155"/>
      <c r="I62" s="163"/>
      <c r="M62" s="11">
        <v>0</v>
      </c>
      <c r="N62" s="11">
        <v>23</v>
      </c>
      <c r="O62" s="11" t="b">
        <f t="shared" ref="O62:O63" si="2">AND(E62&gt;=M62,E62&lt;=N62,IF(ISBLANK(E62),FALSE,TRUE))</f>
        <v>0</v>
      </c>
    </row>
    <row r="63" spans="1:15" ht="30.75" customHeight="1" x14ac:dyDescent="0.25">
      <c r="A63" s="11" t="s">
        <v>173</v>
      </c>
      <c r="B63" s="72" t="s">
        <v>232</v>
      </c>
      <c r="C63" s="115" t="s">
        <v>247</v>
      </c>
      <c r="D63" s="116"/>
      <c r="E63" s="167"/>
      <c r="F63" s="168"/>
      <c r="G63" s="154" t="s">
        <v>215</v>
      </c>
      <c r="H63" s="155"/>
      <c r="I63" s="163"/>
      <c r="M63" s="11">
        <v>0</v>
      </c>
      <c r="N63" s="11">
        <v>23</v>
      </c>
      <c r="O63" s="11" t="b">
        <f t="shared" si="2"/>
        <v>0</v>
      </c>
    </row>
    <row r="64" spans="1:15" ht="40.15" customHeight="1" x14ac:dyDescent="0.25">
      <c r="A64" s="11" t="s">
        <v>173</v>
      </c>
      <c r="B64" s="27" t="s">
        <v>216</v>
      </c>
      <c r="C64" s="115" t="s">
        <v>248</v>
      </c>
      <c r="D64" s="116"/>
      <c r="E64" s="171"/>
      <c r="F64" s="172"/>
      <c r="G64" s="154" t="s">
        <v>37</v>
      </c>
      <c r="H64" s="155"/>
      <c r="I64" s="163"/>
      <c r="M64" s="11">
        <f>IF(E56="Нет",1,11)</f>
        <v>1</v>
      </c>
      <c r="O64" s="11" t="b">
        <f>AND(M64=0)</f>
        <v>0</v>
      </c>
    </row>
    <row r="65" spans="1:15" ht="30" customHeight="1" x14ac:dyDescent="0.25">
      <c r="A65" s="11" t="s">
        <v>173</v>
      </c>
      <c r="B65" s="27" t="s">
        <v>183</v>
      </c>
      <c r="C65" s="117" t="s">
        <v>249</v>
      </c>
      <c r="D65" s="118"/>
      <c r="E65" s="169" t="s">
        <v>29</v>
      </c>
      <c r="F65" s="170"/>
      <c r="G65" s="154" t="s">
        <v>217</v>
      </c>
      <c r="H65" s="155"/>
      <c r="I65" s="163"/>
      <c r="O65" s="11" t="b">
        <f t="shared" si="1"/>
        <v>0</v>
      </c>
    </row>
    <row r="66" spans="1:15" ht="27.75" customHeight="1" x14ac:dyDescent="0.25">
      <c r="A66" s="11" t="s">
        <v>173</v>
      </c>
      <c r="B66" s="27" t="s">
        <v>184</v>
      </c>
      <c r="C66" s="117" t="s">
        <v>250</v>
      </c>
      <c r="D66" s="118"/>
      <c r="E66" s="169" t="s">
        <v>29</v>
      </c>
      <c r="F66" s="170"/>
      <c r="G66" s="157" t="s">
        <v>218</v>
      </c>
      <c r="H66" s="157"/>
      <c r="I66" s="158"/>
      <c r="O66" s="11" t="b">
        <f t="shared" si="1"/>
        <v>0</v>
      </c>
    </row>
    <row r="67" spans="1:15" ht="14.45" customHeight="1" x14ac:dyDescent="0.25">
      <c r="C67" s="161" t="s">
        <v>262</v>
      </c>
      <c r="D67" s="90"/>
      <c r="E67" s="90" t="s">
        <v>152</v>
      </c>
      <c r="F67" s="90"/>
      <c r="G67" s="90" t="s">
        <v>2</v>
      </c>
      <c r="H67" s="90"/>
      <c r="I67" s="91"/>
      <c r="J67" s="19"/>
      <c r="K67" s="19"/>
      <c r="L67" s="19"/>
      <c r="M67" s="19"/>
      <c r="N67" s="20"/>
      <c r="O67" s="11" t="b">
        <f t="shared" ref="O67:O85" si="3">AND(E67&gt;=M67,E67&lt;=N67,IF(ISBLANK(E67),FALSE,TRUE))</f>
        <v>0</v>
      </c>
    </row>
    <row r="68" spans="1:15" x14ac:dyDescent="0.25">
      <c r="A68" s="11" t="s">
        <v>173</v>
      </c>
      <c r="B68" s="27" t="s">
        <v>174</v>
      </c>
      <c r="C68" s="152" t="s">
        <v>36</v>
      </c>
      <c r="D68" s="153"/>
      <c r="E68" s="50">
        <v>8</v>
      </c>
      <c r="F68" s="48" t="s">
        <v>150</v>
      </c>
      <c r="G68" s="154" t="s">
        <v>33</v>
      </c>
      <c r="H68" s="155"/>
      <c r="I68" s="155"/>
      <c r="J68" s="22" t="s">
        <v>38</v>
      </c>
      <c r="K68" s="22"/>
      <c r="L68" s="22"/>
      <c r="M68" s="22">
        <v>1</v>
      </c>
      <c r="N68" s="22">
        <v>8</v>
      </c>
      <c r="O68" s="11" t="b">
        <f t="shared" si="3"/>
        <v>1</v>
      </c>
    </row>
    <row r="69" spans="1:15" x14ac:dyDescent="0.25">
      <c r="A69" s="11" t="s">
        <v>173</v>
      </c>
      <c r="B69" s="27" t="s">
        <v>175</v>
      </c>
      <c r="C69" s="152" t="s">
        <v>40</v>
      </c>
      <c r="D69" s="153"/>
      <c r="E69" s="50">
        <v>25</v>
      </c>
      <c r="F69" s="48" t="s">
        <v>149</v>
      </c>
      <c r="G69" s="154" t="s">
        <v>34</v>
      </c>
      <c r="H69" s="155"/>
      <c r="I69" s="156"/>
      <c r="J69" s="22" t="s">
        <v>38</v>
      </c>
      <c r="K69" s="22"/>
      <c r="L69" s="22"/>
      <c r="M69" s="22">
        <v>1</v>
      </c>
      <c r="N69" s="22">
        <v>25</v>
      </c>
      <c r="O69" s="11" t="b">
        <f t="shared" si="3"/>
        <v>1</v>
      </c>
    </row>
    <row r="70" spans="1:15" x14ac:dyDescent="0.25">
      <c r="A70" s="11" t="s">
        <v>173</v>
      </c>
      <c r="B70" s="27" t="s">
        <v>176</v>
      </c>
      <c r="C70" s="152" t="s">
        <v>41</v>
      </c>
      <c r="D70" s="153"/>
      <c r="E70" s="50">
        <v>40</v>
      </c>
      <c r="F70" s="48" t="s">
        <v>149</v>
      </c>
      <c r="G70" s="154" t="s">
        <v>35</v>
      </c>
      <c r="H70" s="155"/>
      <c r="I70" s="156"/>
      <c r="J70" s="22" t="s">
        <v>38</v>
      </c>
      <c r="K70" s="22"/>
      <c r="L70" s="22"/>
      <c r="M70" s="22">
        <v>1</v>
      </c>
      <c r="N70" s="22">
        <v>40</v>
      </c>
      <c r="O70" s="11" t="b">
        <f t="shared" si="3"/>
        <v>1</v>
      </c>
    </row>
    <row r="71" spans="1:15" x14ac:dyDescent="0.25">
      <c r="A71" s="11" t="s">
        <v>173</v>
      </c>
      <c r="B71" s="27" t="s">
        <v>177</v>
      </c>
      <c r="C71" s="152" t="s">
        <v>3</v>
      </c>
      <c r="D71" s="153"/>
      <c r="E71" s="50" t="s">
        <v>44</v>
      </c>
      <c r="F71" s="48" t="s">
        <v>149</v>
      </c>
      <c r="G71" s="154" t="s">
        <v>4</v>
      </c>
      <c r="H71" s="155"/>
      <c r="I71" s="156"/>
      <c r="J71" s="23"/>
      <c r="K71" s="23"/>
      <c r="L71" s="23"/>
      <c r="M71" s="23">
        <v>1</v>
      </c>
      <c r="N71" s="23">
        <v>99999</v>
      </c>
      <c r="O71" s="11" t="b">
        <f t="shared" si="3"/>
        <v>0</v>
      </c>
    </row>
    <row r="72" spans="1:15" x14ac:dyDescent="0.25">
      <c r="A72" s="11" t="s">
        <v>173</v>
      </c>
      <c r="B72" s="27" t="s">
        <v>178</v>
      </c>
      <c r="C72" s="152" t="s">
        <v>39</v>
      </c>
      <c r="D72" s="153"/>
      <c r="E72" s="50">
        <v>40</v>
      </c>
      <c r="F72" s="48" t="s">
        <v>149</v>
      </c>
      <c r="G72" s="154" t="s">
        <v>5</v>
      </c>
      <c r="H72" s="155"/>
      <c r="I72" s="156"/>
      <c r="J72" s="22" t="s">
        <v>38</v>
      </c>
      <c r="K72" s="23"/>
      <c r="L72" s="23"/>
      <c r="M72" s="23">
        <v>1</v>
      </c>
      <c r="N72" s="23">
        <v>40</v>
      </c>
      <c r="O72" s="11" t="b">
        <f t="shared" si="3"/>
        <v>1</v>
      </c>
    </row>
    <row r="73" spans="1:15" ht="42" customHeight="1" x14ac:dyDescent="0.25">
      <c r="A73" s="11" t="s">
        <v>173</v>
      </c>
      <c r="B73" s="27" t="s">
        <v>179</v>
      </c>
      <c r="C73" s="152" t="s">
        <v>219</v>
      </c>
      <c r="D73" s="153"/>
      <c r="E73" s="64">
        <v>60</v>
      </c>
      <c r="F73" s="49" t="s">
        <v>145</v>
      </c>
      <c r="G73" s="157"/>
      <c r="H73" s="157"/>
      <c r="I73" s="158"/>
      <c r="M73" s="11">
        <v>0</v>
      </c>
      <c r="N73" s="11">
        <v>100</v>
      </c>
      <c r="O73" s="11" t="b">
        <f t="shared" si="3"/>
        <v>1</v>
      </c>
    </row>
    <row r="74" spans="1:15" ht="44.25" customHeight="1" x14ac:dyDescent="0.25">
      <c r="A74" s="11" t="s">
        <v>173</v>
      </c>
      <c r="B74" s="27" t="s">
        <v>220</v>
      </c>
      <c r="C74" s="152" t="s">
        <v>221</v>
      </c>
      <c r="D74" s="153"/>
      <c r="E74" s="64">
        <v>100</v>
      </c>
      <c r="F74" s="49" t="s">
        <v>145</v>
      </c>
      <c r="G74" s="157"/>
      <c r="H74" s="157"/>
      <c r="I74" s="158"/>
      <c r="M74" s="11">
        <v>0</v>
      </c>
      <c r="N74" s="11">
        <v>100</v>
      </c>
      <c r="O74" s="11" t="b">
        <f t="shared" si="3"/>
        <v>1</v>
      </c>
    </row>
    <row r="75" spans="1:15" ht="61.9" customHeight="1" x14ac:dyDescent="0.25">
      <c r="A75" s="11" t="s">
        <v>173</v>
      </c>
      <c r="B75" s="27" t="s">
        <v>180</v>
      </c>
      <c r="C75" s="152" t="s">
        <v>222</v>
      </c>
      <c r="D75" s="153"/>
      <c r="E75" s="64">
        <v>100</v>
      </c>
      <c r="F75" s="49" t="s">
        <v>145</v>
      </c>
      <c r="G75" s="157"/>
      <c r="H75" s="157"/>
      <c r="I75" s="158"/>
      <c r="M75" s="11">
        <v>0</v>
      </c>
      <c r="N75" s="11">
        <v>100</v>
      </c>
      <c r="O75" s="11" t="b">
        <f t="shared" si="3"/>
        <v>1</v>
      </c>
    </row>
    <row r="76" spans="1:15" ht="65.45" customHeight="1" x14ac:dyDescent="0.25">
      <c r="A76" s="11" t="s">
        <v>173</v>
      </c>
      <c r="B76" s="72" t="s">
        <v>230</v>
      </c>
      <c r="C76" s="152" t="s">
        <v>238</v>
      </c>
      <c r="D76" s="153"/>
      <c r="E76" s="32">
        <v>1000000</v>
      </c>
      <c r="F76" s="67" t="s">
        <v>151</v>
      </c>
      <c r="G76" s="157"/>
      <c r="H76" s="157"/>
      <c r="I76" s="158"/>
      <c r="M76" s="11">
        <v>0</v>
      </c>
      <c r="N76" s="11">
        <v>9999999999</v>
      </c>
      <c r="O76" s="11" t="b">
        <f t="shared" si="3"/>
        <v>1</v>
      </c>
    </row>
    <row r="77" spans="1:15" ht="45.6" customHeight="1" x14ac:dyDescent="0.25">
      <c r="A77" s="11" t="s">
        <v>173</v>
      </c>
      <c r="B77" s="72" t="s">
        <v>234</v>
      </c>
      <c r="C77" s="152" t="s">
        <v>239</v>
      </c>
      <c r="D77" s="153"/>
      <c r="E77" s="64">
        <v>12</v>
      </c>
      <c r="F77" s="49" t="s">
        <v>145</v>
      </c>
      <c r="G77" s="157"/>
      <c r="H77" s="157"/>
      <c r="I77" s="158"/>
      <c r="M77" s="11">
        <v>0</v>
      </c>
      <c r="N77" s="11">
        <v>100</v>
      </c>
      <c r="O77" s="11" t="b">
        <f t="shared" si="3"/>
        <v>1</v>
      </c>
    </row>
    <row r="78" spans="1:15" ht="28.9" customHeight="1" x14ac:dyDescent="0.25">
      <c r="A78" s="11" t="s">
        <v>173</v>
      </c>
      <c r="B78" s="72" t="s">
        <v>226</v>
      </c>
      <c r="C78" s="152" t="s">
        <v>223</v>
      </c>
      <c r="D78" s="153"/>
      <c r="E78" s="64">
        <v>97</v>
      </c>
      <c r="F78" s="49" t="s">
        <v>145</v>
      </c>
      <c r="G78" s="157"/>
      <c r="H78" s="157"/>
      <c r="I78" s="158"/>
      <c r="M78" s="11">
        <v>0</v>
      </c>
      <c r="N78" s="11">
        <v>100</v>
      </c>
      <c r="O78" s="11" t="b">
        <f t="shared" si="3"/>
        <v>1</v>
      </c>
    </row>
    <row r="79" spans="1:15" ht="31.9" customHeight="1" x14ac:dyDescent="0.25">
      <c r="A79" s="11" t="s">
        <v>173</v>
      </c>
      <c r="B79" s="72" t="s">
        <v>233</v>
      </c>
      <c r="C79" s="152" t="s">
        <v>240</v>
      </c>
      <c r="D79" s="153"/>
      <c r="E79" s="64">
        <v>100</v>
      </c>
      <c r="F79" s="49" t="s">
        <v>145</v>
      </c>
      <c r="G79" s="157"/>
      <c r="H79" s="157"/>
      <c r="I79" s="158"/>
      <c r="M79" s="11">
        <v>0</v>
      </c>
      <c r="N79" s="11">
        <v>100</v>
      </c>
      <c r="O79" s="11" t="b">
        <f t="shared" si="3"/>
        <v>1</v>
      </c>
    </row>
    <row r="80" spans="1:15" ht="28.9" customHeight="1" x14ac:dyDescent="0.25">
      <c r="A80" s="11" t="s">
        <v>173</v>
      </c>
      <c r="B80" s="72" t="s">
        <v>181</v>
      </c>
      <c r="C80" s="152" t="s">
        <v>223</v>
      </c>
      <c r="D80" s="153"/>
      <c r="E80" s="66">
        <v>100</v>
      </c>
      <c r="F80" s="49" t="s">
        <v>145</v>
      </c>
      <c r="G80" s="157"/>
      <c r="H80" s="157"/>
      <c r="I80" s="158"/>
      <c r="M80" s="11">
        <v>0</v>
      </c>
      <c r="N80" s="11">
        <v>100</v>
      </c>
      <c r="O80" s="11" t="b">
        <f t="shared" si="3"/>
        <v>1</v>
      </c>
    </row>
    <row r="81" spans="1:15" ht="23.25" customHeight="1" x14ac:dyDescent="0.25">
      <c r="A81" s="11" t="s">
        <v>173</v>
      </c>
      <c r="B81" s="72" t="s">
        <v>227</v>
      </c>
      <c r="C81" s="152" t="s">
        <v>241</v>
      </c>
      <c r="D81" s="153"/>
      <c r="E81" s="64">
        <v>100</v>
      </c>
      <c r="F81" s="49" t="s">
        <v>145</v>
      </c>
      <c r="G81" s="157"/>
      <c r="H81" s="157"/>
      <c r="I81" s="158"/>
      <c r="M81" s="11">
        <v>0</v>
      </c>
      <c r="N81" s="11">
        <v>100</v>
      </c>
      <c r="O81" s="11" t="b">
        <f t="shared" si="3"/>
        <v>1</v>
      </c>
    </row>
    <row r="82" spans="1:15" ht="23.45" customHeight="1" x14ac:dyDescent="0.25">
      <c r="A82" s="11" t="s">
        <v>173</v>
      </c>
      <c r="B82" s="27" t="s">
        <v>182</v>
      </c>
      <c r="C82" s="152" t="s">
        <v>224</v>
      </c>
      <c r="D82" s="153"/>
      <c r="E82" s="32">
        <v>1000000</v>
      </c>
      <c r="F82" s="67" t="s">
        <v>151</v>
      </c>
      <c r="G82" s="157"/>
      <c r="H82" s="157"/>
      <c r="I82" s="158"/>
      <c r="M82" s="11">
        <v>0</v>
      </c>
      <c r="N82" s="11">
        <v>9999999999</v>
      </c>
      <c r="O82" s="11" t="b">
        <f t="shared" si="3"/>
        <v>1</v>
      </c>
    </row>
    <row r="83" spans="1:15" ht="73.900000000000006" customHeight="1" thickBot="1" x14ac:dyDescent="0.3">
      <c r="A83" s="11" t="s">
        <v>173</v>
      </c>
      <c r="B83" s="72" t="s">
        <v>228</v>
      </c>
      <c r="C83" s="152" t="s">
        <v>242</v>
      </c>
      <c r="D83" s="153"/>
      <c r="E83" s="64" t="s">
        <v>263</v>
      </c>
      <c r="F83" s="67"/>
      <c r="G83" s="159"/>
      <c r="H83" s="159"/>
      <c r="I83" s="160"/>
      <c r="M83" s="11">
        <v>0</v>
      </c>
      <c r="N83" s="11">
        <v>100</v>
      </c>
      <c r="O83" s="11" t="b">
        <f>AND(EXACT(E83,"Равен ставке НДС (на товар)"),IF(ISBLANK(E83),FALSE,TRUE))</f>
        <v>0</v>
      </c>
    </row>
    <row r="84" spans="1:15" ht="51" customHeight="1" x14ac:dyDescent="0.25">
      <c r="A84" s="11" t="s">
        <v>173</v>
      </c>
      <c r="B84" s="72" t="s">
        <v>235</v>
      </c>
      <c r="C84" s="152" t="s">
        <v>243</v>
      </c>
      <c r="D84" s="153"/>
      <c r="E84" s="64">
        <v>10</v>
      </c>
      <c r="F84" s="49" t="s">
        <v>145</v>
      </c>
      <c r="G84" s="157"/>
      <c r="H84" s="157"/>
      <c r="I84" s="158"/>
      <c r="M84" s="11">
        <v>0</v>
      </c>
      <c r="N84" s="11">
        <v>100</v>
      </c>
      <c r="O84" s="11" t="b">
        <f t="shared" si="3"/>
        <v>1</v>
      </c>
    </row>
    <row r="85" spans="1:15" ht="21.6" customHeight="1" x14ac:dyDescent="0.25">
      <c r="A85" s="11" t="s">
        <v>173</v>
      </c>
      <c r="B85" s="72" t="s">
        <v>236</v>
      </c>
      <c r="C85" s="152" t="s">
        <v>264</v>
      </c>
      <c r="D85" s="153"/>
      <c r="E85" s="32">
        <v>2700000</v>
      </c>
      <c r="F85" s="67" t="s">
        <v>151</v>
      </c>
      <c r="G85" s="157"/>
      <c r="H85" s="157"/>
      <c r="I85" s="158"/>
      <c r="M85" s="11">
        <v>0</v>
      </c>
      <c r="N85" s="11">
        <v>9999999999</v>
      </c>
      <c r="O85" s="11" t="b">
        <f t="shared" si="3"/>
        <v>1</v>
      </c>
    </row>
    <row r="86" spans="1:15" ht="45" customHeight="1" x14ac:dyDescent="0.25">
      <c r="A86" s="29"/>
      <c r="B86" s="73"/>
      <c r="C86" s="87" t="s">
        <v>147</v>
      </c>
      <c r="D86" s="88"/>
      <c r="E86" s="88"/>
      <c r="F86" s="88"/>
      <c r="G86" s="88"/>
      <c r="H86" s="88"/>
      <c r="I86" s="89"/>
    </row>
    <row r="87" spans="1:15" ht="89.25" customHeight="1" x14ac:dyDescent="0.25">
      <c r="A87" s="29"/>
      <c r="B87" s="74"/>
      <c r="C87" s="54" t="s">
        <v>153</v>
      </c>
      <c r="D87" s="56" t="s">
        <v>154</v>
      </c>
      <c r="E87" s="90" t="s">
        <v>155</v>
      </c>
      <c r="F87" s="90"/>
      <c r="G87" s="90" t="s">
        <v>163</v>
      </c>
      <c r="H87" s="90"/>
      <c r="I87" s="91"/>
      <c r="J87" s="12" t="s">
        <v>156</v>
      </c>
      <c r="K87" s="12"/>
      <c r="L87" s="12"/>
    </row>
    <row r="88" spans="1:15" ht="15" hidden="1" customHeight="1" x14ac:dyDescent="0.25">
      <c r="A88" s="29"/>
      <c r="B88" s="74"/>
      <c r="C88" s="54"/>
      <c r="D88" s="56"/>
      <c r="E88" s="96"/>
      <c r="F88" s="96"/>
      <c r="G88" s="59"/>
      <c r="H88" s="96"/>
      <c r="I88" s="97"/>
    </row>
    <row r="89" spans="1:15" x14ac:dyDescent="0.25">
      <c r="A89" s="11" t="str">
        <f t="shared" ref="A89:A130" si="4">IF(OR(ISNUMBER(C89),ISNUMBER(D89)),"SAPDM_UI_CC_AWARD", "")</f>
        <v>SAPDM_UI_CC_AWARD</v>
      </c>
      <c r="C89" s="78">
        <v>5</v>
      </c>
      <c r="D89" s="78">
        <v>5000</v>
      </c>
      <c r="E89" s="98" t="s">
        <v>268</v>
      </c>
      <c r="F89" s="99"/>
      <c r="G89" s="100" t="s">
        <v>270</v>
      </c>
      <c r="H89" s="100"/>
      <c r="I89" s="101"/>
      <c r="J89" s="12" t="s">
        <v>38</v>
      </c>
      <c r="K89" s="12"/>
      <c r="L89" s="12"/>
      <c r="M89" s="11">
        <v>0</v>
      </c>
      <c r="N89" s="11">
        <v>99999</v>
      </c>
      <c r="O89" s="11" t="b">
        <f>AND(C89&gt;=M89,C89&lt;=N89,IF(ISBLANK(C89),FALSE,TRUE))</f>
        <v>1</v>
      </c>
    </row>
    <row r="90" spans="1:15" x14ac:dyDescent="0.25">
      <c r="A90" s="11" t="str">
        <f t="shared" si="4"/>
        <v>SAPDM_UI_CC_AWARD</v>
      </c>
      <c r="C90" s="62">
        <v>1.1000000000000001</v>
      </c>
      <c r="D90" s="77">
        <v>9999</v>
      </c>
      <c r="E90" s="92" t="s">
        <v>269</v>
      </c>
      <c r="F90" s="93"/>
      <c r="G90" s="94" t="s">
        <v>271</v>
      </c>
      <c r="H90" s="94"/>
      <c r="I90" s="95"/>
      <c r="J90" s="12"/>
      <c r="K90" s="12"/>
      <c r="L90" s="12"/>
      <c r="M90" s="11">
        <v>0</v>
      </c>
      <c r="N90" s="11">
        <v>99999</v>
      </c>
      <c r="O90" s="11" t="e">
        <f>AND(#REF!&gt;=M90,#REF!&lt;=N90,IF(ISBLANK(#REF!),FALSE,TRUE))</f>
        <v>#REF!</v>
      </c>
    </row>
    <row r="91" spans="1:15" x14ac:dyDescent="0.25">
      <c r="A91" s="11" t="str">
        <f t="shared" si="4"/>
        <v>SAPDM_UI_CC_AWARD</v>
      </c>
      <c r="C91" s="63">
        <v>3.03</v>
      </c>
      <c r="D91" s="77">
        <v>3003</v>
      </c>
      <c r="E91" s="92" t="s">
        <v>204</v>
      </c>
      <c r="F91" s="93"/>
      <c r="G91" s="94" t="s">
        <v>272</v>
      </c>
      <c r="H91" s="94"/>
      <c r="I91" s="95"/>
      <c r="J91" s="12"/>
      <c r="K91" s="12"/>
      <c r="L91" s="12"/>
      <c r="M91" s="11">
        <v>0</v>
      </c>
      <c r="N91" s="11">
        <v>99999</v>
      </c>
      <c r="O91" s="11" t="b">
        <f t="shared" ref="O91:O103" si="5">AND(C91&gt;=M91,C91&lt;=N91,IF(ISBLANK(C91),FALSE,TRUE))</f>
        <v>1</v>
      </c>
    </row>
    <row r="92" spans="1:15" s="18" customFormat="1" x14ac:dyDescent="0.25">
      <c r="A92" s="11" t="str">
        <f t="shared" si="4"/>
        <v/>
      </c>
      <c r="B92" s="27"/>
      <c r="C92" s="62" t="s">
        <v>251</v>
      </c>
      <c r="D92" s="77" t="s">
        <v>251</v>
      </c>
      <c r="E92" s="92"/>
      <c r="F92" s="93"/>
      <c r="G92" s="94"/>
      <c r="H92" s="94"/>
      <c r="I92" s="95"/>
      <c r="J92" s="12"/>
      <c r="K92" s="12"/>
      <c r="L92" s="12"/>
      <c r="M92" s="11">
        <v>0</v>
      </c>
      <c r="N92" s="11">
        <v>99999</v>
      </c>
      <c r="O92" s="11" t="b">
        <f t="shared" si="5"/>
        <v>0</v>
      </c>
    </row>
    <row r="93" spans="1:15" x14ac:dyDescent="0.25">
      <c r="A93" s="11" t="str">
        <f t="shared" si="4"/>
        <v/>
      </c>
      <c r="C93" s="79" t="s">
        <v>251</v>
      </c>
      <c r="D93" s="77" t="s">
        <v>203</v>
      </c>
      <c r="E93" s="92"/>
      <c r="F93" s="93"/>
      <c r="G93" s="94"/>
      <c r="H93" s="94"/>
      <c r="I93" s="95"/>
      <c r="J93" s="12"/>
      <c r="K93" s="12"/>
      <c r="L93" s="12"/>
      <c r="M93" s="11">
        <v>0</v>
      </c>
      <c r="N93" s="11">
        <v>99999</v>
      </c>
      <c r="O93" s="11" t="b">
        <f>AND(C90&gt;=M93,C90&lt;=N93,IF(ISBLANK(C90),FALSE,TRUE))</f>
        <v>1</v>
      </c>
    </row>
    <row r="94" spans="1:15" x14ac:dyDescent="0.25">
      <c r="A94" s="11" t="str">
        <f t="shared" si="4"/>
        <v/>
      </c>
      <c r="C94" s="62" t="s">
        <v>203</v>
      </c>
      <c r="D94" s="57" t="s">
        <v>44</v>
      </c>
      <c r="E94" s="92"/>
      <c r="F94" s="93"/>
      <c r="G94" s="94"/>
      <c r="H94" s="94"/>
      <c r="I94" s="95"/>
      <c r="J94" s="12"/>
      <c r="K94" s="12"/>
      <c r="L94" s="12"/>
      <c r="M94" s="11">
        <v>0</v>
      </c>
      <c r="N94" s="11">
        <v>99999</v>
      </c>
      <c r="O94" s="11" t="b">
        <f t="shared" si="5"/>
        <v>0</v>
      </c>
    </row>
    <row r="95" spans="1:15" s="18" customFormat="1" x14ac:dyDescent="0.25">
      <c r="A95" s="11" t="str">
        <f t="shared" si="4"/>
        <v/>
      </c>
      <c r="B95" s="27"/>
      <c r="C95" s="62" t="s">
        <v>203</v>
      </c>
      <c r="D95" s="57" t="s">
        <v>44</v>
      </c>
      <c r="E95" s="92"/>
      <c r="F95" s="93"/>
      <c r="G95" s="94"/>
      <c r="H95" s="94"/>
      <c r="I95" s="95"/>
      <c r="J95" s="17"/>
      <c r="K95" s="17"/>
      <c r="L95" s="17"/>
      <c r="M95" s="11">
        <v>0</v>
      </c>
      <c r="N95" s="11">
        <v>99999</v>
      </c>
      <c r="O95" s="11" t="b">
        <f t="shared" si="5"/>
        <v>0</v>
      </c>
    </row>
    <row r="96" spans="1:15" s="18" customFormat="1" x14ac:dyDescent="0.25">
      <c r="A96" s="11" t="str">
        <f t="shared" si="4"/>
        <v/>
      </c>
      <c r="B96" s="27"/>
      <c r="C96" s="62" t="s">
        <v>203</v>
      </c>
      <c r="D96" s="57" t="s">
        <v>44</v>
      </c>
      <c r="E96" s="142"/>
      <c r="F96" s="142"/>
      <c r="G96" s="94"/>
      <c r="H96" s="94"/>
      <c r="I96" s="95"/>
      <c r="J96" s="17"/>
      <c r="K96" s="17"/>
      <c r="L96" s="17"/>
      <c r="M96" s="11">
        <v>0</v>
      </c>
      <c r="N96" s="11">
        <v>99999</v>
      </c>
      <c r="O96" s="11" t="b">
        <f t="shared" si="5"/>
        <v>0</v>
      </c>
    </row>
    <row r="97" spans="1:15" s="18" customFormat="1" x14ac:dyDescent="0.25">
      <c r="A97" s="11" t="str">
        <f t="shared" si="4"/>
        <v/>
      </c>
      <c r="B97" s="27"/>
      <c r="C97" s="62" t="s">
        <v>203</v>
      </c>
      <c r="D97" s="57" t="s">
        <v>44</v>
      </c>
      <c r="E97" s="142"/>
      <c r="F97" s="142"/>
      <c r="G97" s="94"/>
      <c r="H97" s="94"/>
      <c r="I97" s="95"/>
      <c r="J97" s="17"/>
      <c r="K97" s="17"/>
      <c r="L97" s="17"/>
      <c r="M97" s="11">
        <v>0</v>
      </c>
      <c r="N97" s="11">
        <v>99999</v>
      </c>
      <c r="O97" s="11" t="b">
        <f t="shared" si="5"/>
        <v>0</v>
      </c>
    </row>
    <row r="98" spans="1:15" s="18" customFormat="1" x14ac:dyDescent="0.25">
      <c r="A98" s="11" t="str">
        <f t="shared" si="4"/>
        <v/>
      </c>
      <c r="B98" s="27"/>
      <c r="C98" s="62" t="s">
        <v>203</v>
      </c>
      <c r="D98" s="57" t="s">
        <v>44</v>
      </c>
      <c r="E98" s="142"/>
      <c r="F98" s="142"/>
      <c r="G98" s="94"/>
      <c r="H98" s="94"/>
      <c r="I98" s="95"/>
      <c r="J98" s="17"/>
      <c r="K98" s="17"/>
      <c r="L98" s="17"/>
      <c r="M98" s="11">
        <v>0</v>
      </c>
      <c r="N98" s="11">
        <v>99999</v>
      </c>
      <c r="O98" s="11" t="b">
        <f t="shared" si="5"/>
        <v>0</v>
      </c>
    </row>
    <row r="99" spans="1:15" s="18" customFormat="1" x14ac:dyDescent="0.25">
      <c r="A99" s="11" t="str">
        <f t="shared" si="4"/>
        <v/>
      </c>
      <c r="B99" s="27"/>
      <c r="C99" s="62" t="s">
        <v>203</v>
      </c>
      <c r="D99" s="57" t="s">
        <v>44</v>
      </c>
      <c r="E99" s="142"/>
      <c r="F99" s="142"/>
      <c r="G99" s="94"/>
      <c r="H99" s="94"/>
      <c r="I99" s="95"/>
      <c r="J99" s="17"/>
      <c r="K99" s="17"/>
      <c r="L99" s="17"/>
      <c r="M99" s="11">
        <v>0</v>
      </c>
      <c r="N99" s="11">
        <v>99999</v>
      </c>
      <c r="O99" s="11" t="b">
        <f t="shared" si="5"/>
        <v>0</v>
      </c>
    </row>
    <row r="100" spans="1:15" s="18" customFormat="1" x14ac:dyDescent="0.25">
      <c r="A100" s="11" t="str">
        <f t="shared" si="4"/>
        <v/>
      </c>
      <c r="B100" s="27"/>
      <c r="C100" s="62" t="s">
        <v>203</v>
      </c>
      <c r="D100" s="57" t="s">
        <v>44</v>
      </c>
      <c r="E100" s="142"/>
      <c r="F100" s="142"/>
      <c r="G100" s="94"/>
      <c r="H100" s="94"/>
      <c r="I100" s="95"/>
      <c r="J100" s="17"/>
      <c r="K100" s="17"/>
      <c r="L100" s="17"/>
      <c r="M100" s="11">
        <v>0</v>
      </c>
      <c r="N100" s="11">
        <v>99999</v>
      </c>
      <c r="O100" s="11" t="b">
        <f t="shared" si="5"/>
        <v>0</v>
      </c>
    </row>
    <row r="101" spans="1:15" s="18" customFormat="1" x14ac:dyDescent="0.25">
      <c r="A101" s="11" t="str">
        <f t="shared" si="4"/>
        <v/>
      </c>
      <c r="B101" s="27"/>
      <c r="C101" s="62" t="s">
        <v>203</v>
      </c>
      <c r="D101" s="57" t="s">
        <v>44</v>
      </c>
      <c r="E101" s="142"/>
      <c r="F101" s="142"/>
      <c r="G101" s="94"/>
      <c r="H101" s="94"/>
      <c r="I101" s="95"/>
      <c r="J101" s="17"/>
      <c r="K101" s="17"/>
      <c r="L101" s="17"/>
      <c r="M101" s="11">
        <v>0</v>
      </c>
      <c r="N101" s="11">
        <v>99999</v>
      </c>
      <c r="O101" s="11" t="b">
        <f t="shared" si="5"/>
        <v>0</v>
      </c>
    </row>
    <row r="102" spans="1:15" s="18" customFormat="1" x14ac:dyDescent="0.25">
      <c r="A102" s="11" t="str">
        <f t="shared" si="4"/>
        <v/>
      </c>
      <c r="B102" s="27"/>
      <c r="C102" s="62" t="s">
        <v>203</v>
      </c>
      <c r="D102" s="57" t="s">
        <v>44</v>
      </c>
      <c r="E102" s="142"/>
      <c r="F102" s="142"/>
      <c r="G102" s="94"/>
      <c r="H102" s="94"/>
      <c r="I102" s="95"/>
      <c r="J102" s="17"/>
      <c r="K102" s="17"/>
      <c r="L102" s="17"/>
      <c r="M102" s="11">
        <v>0</v>
      </c>
      <c r="N102" s="11">
        <v>99999</v>
      </c>
      <c r="O102" s="11" t="b">
        <f t="shared" si="5"/>
        <v>0</v>
      </c>
    </row>
    <row r="103" spans="1:15" s="18" customFormat="1" ht="15.75" thickBot="1" x14ac:dyDescent="0.3">
      <c r="A103" s="11" t="str">
        <f t="shared" si="4"/>
        <v/>
      </c>
      <c r="B103" s="27"/>
      <c r="C103" s="62" t="s">
        <v>203</v>
      </c>
      <c r="D103" s="57" t="s">
        <v>44</v>
      </c>
      <c r="E103" s="143"/>
      <c r="F103" s="143"/>
      <c r="G103" s="144"/>
      <c r="H103" s="144"/>
      <c r="I103" s="145"/>
      <c r="J103" s="17"/>
      <c r="K103" s="17"/>
      <c r="L103" s="17"/>
      <c r="M103" s="11">
        <v>0</v>
      </c>
      <c r="N103" s="11">
        <v>99999</v>
      </c>
      <c r="O103" s="11" t="b">
        <f t="shared" si="5"/>
        <v>0</v>
      </c>
    </row>
    <row r="104" spans="1:15" s="18" customFormat="1" x14ac:dyDescent="0.25">
      <c r="A104" s="11" t="str">
        <f t="shared" si="4"/>
        <v/>
      </c>
      <c r="B104" s="27"/>
      <c r="C104" s="55"/>
      <c r="D104" s="55"/>
      <c r="E104" s="102"/>
      <c r="F104" s="102"/>
      <c r="G104" s="103"/>
      <c r="H104" s="103"/>
      <c r="I104" s="103"/>
      <c r="J104" s="17"/>
      <c r="K104" s="17"/>
      <c r="L104" s="17"/>
    </row>
    <row r="105" spans="1:15" s="18" customFormat="1" x14ac:dyDescent="0.25">
      <c r="A105" s="11" t="str">
        <f t="shared" si="4"/>
        <v/>
      </c>
      <c r="B105" s="27"/>
      <c r="C105" s="46"/>
      <c r="D105" s="47"/>
      <c r="E105" s="102"/>
      <c r="F105" s="102"/>
      <c r="G105" s="103"/>
      <c r="H105" s="103"/>
      <c r="I105" s="103"/>
      <c r="J105" s="17"/>
      <c r="K105" s="17"/>
      <c r="L105" s="17"/>
    </row>
    <row r="106" spans="1:15" s="18" customFormat="1" x14ac:dyDescent="0.25">
      <c r="A106" s="11" t="str">
        <f t="shared" si="4"/>
        <v/>
      </c>
      <c r="B106" s="27"/>
      <c r="C106" s="46"/>
      <c r="D106" s="47"/>
      <c r="E106" s="102"/>
      <c r="F106" s="102"/>
      <c r="G106" s="103"/>
      <c r="H106" s="103"/>
      <c r="I106" s="103"/>
      <c r="J106" s="17"/>
      <c r="K106" s="17"/>
      <c r="L106" s="17"/>
    </row>
    <row r="107" spans="1:15" s="18" customFormat="1" x14ac:dyDescent="0.25">
      <c r="A107" s="11" t="str">
        <f t="shared" si="4"/>
        <v/>
      </c>
      <c r="B107" s="27"/>
      <c r="C107" s="46"/>
      <c r="D107" s="47"/>
      <c r="E107" s="102"/>
      <c r="F107" s="102"/>
      <c r="G107" s="103"/>
      <c r="H107" s="103"/>
      <c r="I107" s="103"/>
      <c r="J107" s="17"/>
      <c r="K107" s="17"/>
      <c r="L107" s="17"/>
    </row>
    <row r="108" spans="1:15" s="18" customFormat="1" x14ac:dyDescent="0.25">
      <c r="A108" s="11" t="str">
        <f t="shared" si="4"/>
        <v/>
      </c>
      <c r="B108" s="27"/>
      <c r="C108" s="46"/>
      <c r="D108" s="47"/>
      <c r="E108" s="102"/>
      <c r="F108" s="102"/>
      <c r="G108" s="103"/>
      <c r="H108" s="103"/>
      <c r="I108" s="103"/>
      <c r="J108" s="17"/>
      <c r="K108" s="17"/>
      <c r="L108" s="17"/>
    </row>
    <row r="109" spans="1:15" s="18" customFormat="1" x14ac:dyDescent="0.25">
      <c r="A109" s="11" t="str">
        <f t="shared" si="4"/>
        <v/>
      </c>
      <c r="B109" s="27"/>
      <c r="C109" s="46"/>
      <c r="D109" s="47"/>
      <c r="E109" s="102"/>
      <c r="F109" s="102"/>
      <c r="G109" s="103"/>
      <c r="H109" s="103"/>
      <c r="I109" s="103"/>
      <c r="J109" s="17"/>
      <c r="K109" s="17"/>
      <c r="L109" s="17"/>
    </row>
    <row r="110" spans="1:15" s="18" customFormat="1" x14ac:dyDescent="0.25">
      <c r="A110" s="11" t="str">
        <f t="shared" si="4"/>
        <v/>
      </c>
      <c r="B110" s="27"/>
      <c r="C110" s="46"/>
      <c r="D110" s="47"/>
      <c r="E110" s="102"/>
      <c r="F110" s="102"/>
      <c r="G110" s="103"/>
      <c r="H110" s="103"/>
      <c r="I110" s="103"/>
      <c r="J110" s="17"/>
      <c r="K110" s="17"/>
      <c r="L110" s="17"/>
    </row>
    <row r="111" spans="1:15" s="18" customFormat="1" x14ac:dyDescent="0.25">
      <c r="A111" s="11" t="str">
        <f t="shared" si="4"/>
        <v/>
      </c>
      <c r="B111" s="27"/>
      <c r="C111" s="46"/>
      <c r="D111" s="47"/>
      <c r="E111" s="102"/>
      <c r="F111" s="102"/>
      <c r="G111" s="103"/>
      <c r="H111" s="103"/>
      <c r="I111" s="103"/>
      <c r="J111" s="17"/>
      <c r="K111" s="17"/>
      <c r="L111" s="17"/>
    </row>
    <row r="112" spans="1:15" s="18" customFormat="1" x14ac:dyDescent="0.25">
      <c r="A112" s="11" t="str">
        <f t="shared" si="4"/>
        <v/>
      </c>
      <c r="B112" s="27"/>
      <c r="C112" s="46"/>
      <c r="D112" s="47"/>
      <c r="E112" s="102"/>
      <c r="F112" s="102"/>
      <c r="G112" s="103"/>
      <c r="H112" s="103"/>
      <c r="I112" s="103"/>
      <c r="J112" s="17"/>
      <c r="K112" s="17"/>
      <c r="L112" s="17"/>
    </row>
    <row r="113" spans="1:12" s="18" customFormat="1" x14ac:dyDescent="0.25">
      <c r="A113" s="11" t="str">
        <f t="shared" si="4"/>
        <v/>
      </c>
      <c r="B113" s="27"/>
      <c r="C113" s="46"/>
      <c r="D113" s="47"/>
      <c r="E113" s="102"/>
      <c r="F113" s="102"/>
      <c r="G113" s="103"/>
      <c r="H113" s="103"/>
      <c r="I113" s="103"/>
      <c r="J113" s="17"/>
      <c r="K113" s="17"/>
      <c r="L113" s="17"/>
    </row>
    <row r="114" spans="1:12" s="18" customFormat="1" x14ac:dyDescent="0.25">
      <c r="A114" s="11" t="str">
        <f t="shared" si="4"/>
        <v/>
      </c>
      <c r="B114" s="27"/>
      <c r="C114" s="46"/>
      <c r="D114" s="47"/>
      <c r="E114" s="102"/>
      <c r="F114" s="102"/>
      <c r="G114" s="103"/>
      <c r="H114" s="103"/>
      <c r="I114" s="103"/>
      <c r="J114" s="17"/>
      <c r="K114" s="17"/>
      <c r="L114" s="17"/>
    </row>
    <row r="115" spans="1:12" s="18" customFormat="1" x14ac:dyDescent="0.25">
      <c r="A115" s="11" t="str">
        <f t="shared" si="4"/>
        <v/>
      </c>
      <c r="B115" s="27"/>
      <c r="C115" s="46"/>
      <c r="D115" s="47"/>
      <c r="E115" s="102"/>
      <c r="F115" s="102"/>
      <c r="G115" s="103"/>
      <c r="H115" s="103"/>
      <c r="I115" s="103"/>
      <c r="J115" s="17"/>
      <c r="K115" s="17"/>
      <c r="L115" s="17"/>
    </row>
    <row r="116" spans="1:12" s="18" customFormat="1" x14ac:dyDescent="0.25">
      <c r="A116" s="11" t="str">
        <f t="shared" si="4"/>
        <v/>
      </c>
      <c r="B116" s="27"/>
      <c r="C116" s="46"/>
      <c r="D116" s="47"/>
      <c r="E116" s="102"/>
      <c r="F116" s="102"/>
      <c r="G116" s="103"/>
      <c r="H116" s="103"/>
      <c r="I116" s="103"/>
      <c r="J116" s="17"/>
      <c r="K116" s="17"/>
      <c r="L116" s="17"/>
    </row>
    <row r="117" spans="1:12" s="18" customFormat="1" x14ac:dyDescent="0.25">
      <c r="A117" s="11" t="str">
        <f t="shared" si="4"/>
        <v/>
      </c>
      <c r="B117" s="27"/>
      <c r="C117" s="46"/>
      <c r="D117" s="47"/>
      <c r="E117" s="102"/>
      <c r="F117" s="102"/>
      <c r="G117" s="103"/>
      <c r="H117" s="103"/>
      <c r="I117" s="103"/>
      <c r="J117" s="17"/>
      <c r="K117" s="17"/>
      <c r="L117" s="17"/>
    </row>
    <row r="118" spans="1:12" s="18" customFormat="1" x14ac:dyDescent="0.25">
      <c r="A118" s="11" t="str">
        <f t="shared" si="4"/>
        <v/>
      </c>
      <c r="B118" s="27"/>
      <c r="C118" s="46"/>
      <c r="D118" s="47"/>
      <c r="E118" s="102"/>
      <c r="F118" s="102"/>
      <c r="G118" s="103"/>
      <c r="H118" s="103"/>
      <c r="I118" s="103"/>
      <c r="J118" s="17"/>
      <c r="K118" s="17"/>
      <c r="L118" s="17"/>
    </row>
    <row r="119" spans="1:12" s="18" customFormat="1" x14ac:dyDescent="0.25">
      <c r="A119" s="11" t="str">
        <f t="shared" si="4"/>
        <v/>
      </c>
      <c r="B119" s="27"/>
      <c r="C119" s="46"/>
      <c r="D119" s="47"/>
      <c r="E119" s="102"/>
      <c r="F119" s="102"/>
      <c r="G119" s="103"/>
      <c r="H119" s="103"/>
      <c r="I119" s="103"/>
      <c r="J119" s="17"/>
      <c r="K119" s="17"/>
      <c r="L119" s="17"/>
    </row>
    <row r="120" spans="1:12" s="18" customFormat="1" x14ac:dyDescent="0.25">
      <c r="A120" s="11" t="str">
        <f t="shared" si="4"/>
        <v/>
      </c>
      <c r="B120" s="27"/>
      <c r="C120" s="46"/>
      <c r="D120" s="47"/>
      <c r="E120" s="102"/>
      <c r="F120" s="102"/>
      <c r="G120" s="103"/>
      <c r="H120" s="103"/>
      <c r="I120" s="103"/>
      <c r="J120" s="17"/>
      <c r="K120" s="17"/>
      <c r="L120" s="17"/>
    </row>
    <row r="121" spans="1:12" s="18" customFormat="1" x14ac:dyDescent="0.25">
      <c r="A121" s="11" t="str">
        <f t="shared" si="4"/>
        <v/>
      </c>
      <c r="B121" s="27"/>
      <c r="C121" s="46"/>
      <c r="D121" s="47"/>
      <c r="E121" s="102"/>
      <c r="F121" s="102"/>
      <c r="G121" s="103"/>
      <c r="H121" s="103"/>
      <c r="I121" s="103"/>
      <c r="J121" s="17"/>
      <c r="K121" s="17"/>
      <c r="L121" s="17"/>
    </row>
    <row r="122" spans="1:12" s="18" customFormat="1" x14ac:dyDescent="0.25">
      <c r="A122" s="11" t="str">
        <f t="shared" si="4"/>
        <v/>
      </c>
      <c r="B122" s="27"/>
      <c r="C122" s="46"/>
      <c r="D122" s="47"/>
      <c r="E122" s="102"/>
      <c r="F122" s="102"/>
      <c r="G122" s="103"/>
      <c r="H122" s="103"/>
      <c r="I122" s="103"/>
      <c r="J122" s="17"/>
      <c r="K122" s="17"/>
      <c r="L122" s="17"/>
    </row>
    <row r="123" spans="1:12" s="18" customFormat="1" x14ac:dyDescent="0.25">
      <c r="A123" s="11" t="str">
        <f t="shared" si="4"/>
        <v/>
      </c>
      <c r="B123" s="27"/>
      <c r="C123" s="46"/>
      <c r="D123" s="47"/>
      <c r="E123" s="102"/>
      <c r="F123" s="102"/>
      <c r="G123" s="103"/>
      <c r="H123" s="103"/>
      <c r="I123" s="103"/>
      <c r="J123" s="17"/>
      <c r="K123" s="17"/>
      <c r="L123" s="17"/>
    </row>
    <row r="124" spans="1:12" s="18" customFormat="1" x14ac:dyDescent="0.25">
      <c r="A124" s="11" t="str">
        <f t="shared" si="4"/>
        <v/>
      </c>
      <c r="B124" s="27"/>
      <c r="C124" s="46"/>
      <c r="D124" s="47"/>
      <c r="E124" s="102"/>
      <c r="F124" s="102"/>
      <c r="G124" s="103"/>
      <c r="H124" s="103"/>
      <c r="I124" s="103"/>
      <c r="J124" s="17"/>
      <c r="K124" s="17"/>
      <c r="L124" s="17"/>
    </row>
    <row r="125" spans="1:12" s="18" customFormat="1" x14ac:dyDescent="0.25">
      <c r="A125" s="11" t="str">
        <f t="shared" si="4"/>
        <v/>
      </c>
      <c r="B125" s="27"/>
      <c r="C125" s="46"/>
      <c r="D125" s="47"/>
      <c r="E125" s="102"/>
      <c r="F125" s="102"/>
      <c r="G125" s="103"/>
      <c r="H125" s="103"/>
      <c r="I125" s="103"/>
      <c r="J125" s="17"/>
      <c r="K125" s="17"/>
      <c r="L125" s="17"/>
    </row>
    <row r="126" spans="1:12" s="18" customFormat="1" x14ac:dyDescent="0.25">
      <c r="A126" s="11" t="str">
        <f t="shared" si="4"/>
        <v/>
      </c>
      <c r="B126" s="27"/>
      <c r="C126" s="46"/>
      <c r="D126" s="47"/>
      <c r="E126" s="102"/>
      <c r="F126" s="102"/>
      <c r="G126" s="103"/>
      <c r="H126" s="103"/>
      <c r="I126" s="103"/>
      <c r="J126" s="17"/>
      <c r="K126" s="17"/>
      <c r="L126" s="17"/>
    </row>
    <row r="127" spans="1:12" s="18" customFormat="1" x14ac:dyDescent="0.25">
      <c r="A127" s="11" t="str">
        <f t="shared" si="4"/>
        <v/>
      </c>
      <c r="B127" s="27"/>
      <c r="C127" s="46"/>
      <c r="D127" s="47"/>
      <c r="E127" s="102"/>
      <c r="F127" s="102"/>
      <c r="G127" s="103"/>
      <c r="H127" s="103"/>
      <c r="I127" s="103"/>
      <c r="J127" s="17"/>
      <c r="K127" s="17"/>
      <c r="L127" s="17"/>
    </row>
    <row r="128" spans="1:12" s="18" customFormat="1" x14ac:dyDescent="0.25">
      <c r="A128" s="11" t="str">
        <f t="shared" si="4"/>
        <v/>
      </c>
      <c r="B128" s="27"/>
      <c r="C128" s="46"/>
      <c r="D128" s="47"/>
      <c r="E128" s="102"/>
      <c r="F128" s="102"/>
      <c r="G128" s="103"/>
      <c r="H128" s="103"/>
      <c r="I128" s="103"/>
      <c r="J128" s="17"/>
      <c r="K128" s="17"/>
      <c r="L128" s="17"/>
    </row>
    <row r="129" spans="1:12" s="18" customFormat="1" x14ac:dyDescent="0.25">
      <c r="A129" s="11" t="str">
        <f t="shared" si="4"/>
        <v/>
      </c>
      <c r="B129" s="27"/>
      <c r="C129" s="46"/>
      <c r="D129" s="47"/>
      <c r="E129" s="102"/>
      <c r="F129" s="102"/>
      <c r="G129" s="103"/>
      <c r="H129" s="103"/>
      <c r="I129" s="103"/>
      <c r="J129" s="17"/>
      <c r="K129" s="17"/>
      <c r="L129" s="17"/>
    </row>
    <row r="130" spans="1:12" s="18" customFormat="1" x14ac:dyDescent="0.25">
      <c r="A130" s="11" t="str">
        <f t="shared" si="4"/>
        <v/>
      </c>
      <c r="B130" s="27"/>
      <c r="C130" s="46"/>
      <c r="D130" s="47"/>
      <c r="E130" s="102"/>
      <c r="F130" s="102"/>
      <c r="G130" s="103"/>
      <c r="H130" s="103"/>
      <c r="I130" s="103"/>
      <c r="J130" s="17"/>
      <c r="K130" s="17"/>
      <c r="L130" s="17"/>
    </row>
    <row r="131" spans="1:12" s="18" customFormat="1" x14ac:dyDescent="0.25">
      <c r="A131" s="11"/>
      <c r="B131" s="27"/>
      <c r="C131" s="46"/>
      <c r="D131" s="47"/>
      <c r="E131" s="102"/>
      <c r="F131" s="102"/>
      <c r="G131" s="103"/>
      <c r="H131" s="103"/>
      <c r="I131" s="103"/>
      <c r="J131" s="17"/>
      <c r="K131" s="17"/>
      <c r="L131" s="17"/>
    </row>
    <row r="132" spans="1:12" s="18" customFormat="1" x14ac:dyDescent="0.25">
      <c r="B132" s="75"/>
      <c r="C132" s="46"/>
      <c r="D132" s="47"/>
      <c r="E132" s="102"/>
      <c r="F132" s="102"/>
      <c r="G132" s="103"/>
      <c r="H132" s="103"/>
      <c r="I132" s="103"/>
      <c r="J132" s="17"/>
      <c r="K132" s="17"/>
      <c r="L132" s="17"/>
    </row>
    <row r="133" spans="1:12" s="18" customFormat="1" x14ac:dyDescent="0.25">
      <c r="B133" s="75"/>
      <c r="C133" s="46"/>
      <c r="D133" s="47"/>
      <c r="E133" s="102"/>
      <c r="F133" s="102"/>
      <c r="G133" s="103"/>
      <c r="H133" s="103"/>
      <c r="I133" s="103"/>
      <c r="J133" s="17"/>
      <c r="K133" s="17"/>
      <c r="L133" s="17"/>
    </row>
    <row r="134" spans="1:12" s="18" customFormat="1" x14ac:dyDescent="0.25">
      <c r="B134" s="75"/>
      <c r="C134" s="46"/>
      <c r="D134" s="47"/>
      <c r="E134" s="102"/>
      <c r="F134" s="102"/>
      <c r="G134" s="103"/>
      <c r="H134" s="103"/>
      <c r="I134" s="103"/>
      <c r="J134" s="17"/>
      <c r="K134" s="17"/>
      <c r="L134" s="17"/>
    </row>
    <row r="135" spans="1:12" s="18" customFormat="1" x14ac:dyDescent="0.25">
      <c r="B135" s="75"/>
      <c r="C135" s="46"/>
      <c r="D135" s="47"/>
      <c r="E135" s="102"/>
      <c r="F135" s="102"/>
      <c r="G135" s="103"/>
      <c r="H135" s="103"/>
      <c r="I135" s="103"/>
      <c r="J135" s="17"/>
      <c r="K135" s="17"/>
      <c r="L135" s="17"/>
    </row>
    <row r="136" spans="1:12" s="18" customFormat="1" x14ac:dyDescent="0.25">
      <c r="B136" s="75"/>
      <c r="C136" s="46"/>
      <c r="D136" s="47"/>
      <c r="E136" s="102"/>
      <c r="F136" s="102"/>
      <c r="G136" s="103"/>
      <c r="H136" s="103"/>
      <c r="I136" s="103"/>
      <c r="J136" s="17"/>
      <c r="K136" s="17"/>
      <c r="L136" s="17"/>
    </row>
    <row r="137" spans="1:12" s="18" customFormat="1" x14ac:dyDescent="0.25">
      <c r="B137" s="75"/>
      <c r="C137" s="46"/>
      <c r="D137" s="47"/>
      <c r="E137" s="102"/>
      <c r="F137" s="102"/>
      <c r="G137" s="103"/>
      <c r="H137" s="103"/>
      <c r="I137" s="103"/>
      <c r="J137" s="17"/>
      <c r="K137" s="17"/>
      <c r="L137" s="17"/>
    </row>
    <row r="138" spans="1:12" s="18" customFormat="1" x14ac:dyDescent="0.25">
      <c r="B138" s="75"/>
      <c r="C138" s="46"/>
      <c r="D138" s="47"/>
      <c r="E138" s="102"/>
      <c r="F138" s="102"/>
      <c r="G138" s="103"/>
      <c r="H138" s="103"/>
      <c r="I138" s="103"/>
      <c r="J138" s="17"/>
      <c r="K138" s="17"/>
      <c r="L138" s="17"/>
    </row>
    <row r="139" spans="1:12" s="18" customFormat="1" x14ac:dyDescent="0.25">
      <c r="B139" s="75"/>
      <c r="C139" s="46"/>
      <c r="D139" s="47"/>
      <c r="E139" s="102"/>
      <c r="F139" s="102"/>
      <c r="G139" s="103"/>
      <c r="H139" s="103"/>
      <c r="I139" s="103"/>
      <c r="J139" s="17"/>
      <c r="K139" s="17"/>
      <c r="L139" s="17"/>
    </row>
    <row r="140" spans="1:12" s="18" customFormat="1" x14ac:dyDescent="0.25">
      <c r="B140" s="75"/>
      <c r="C140" s="46"/>
      <c r="D140" s="47"/>
      <c r="E140" s="102"/>
      <c r="F140" s="102"/>
      <c r="G140" s="103"/>
      <c r="H140" s="103"/>
      <c r="I140" s="103"/>
      <c r="J140" s="17"/>
      <c r="K140" s="17"/>
      <c r="L140" s="17"/>
    </row>
    <row r="141" spans="1:12" s="18" customFormat="1" x14ac:dyDescent="0.25">
      <c r="B141" s="75"/>
      <c r="C141" s="46"/>
      <c r="D141" s="47"/>
      <c r="E141" s="102"/>
      <c r="F141" s="102"/>
      <c r="G141" s="103"/>
      <c r="H141" s="103"/>
      <c r="I141" s="103"/>
      <c r="J141" s="17"/>
      <c r="K141" s="17"/>
      <c r="L141" s="17"/>
    </row>
    <row r="142" spans="1:12" s="18" customFormat="1" x14ac:dyDescent="0.25">
      <c r="B142" s="75"/>
      <c r="C142" s="46"/>
      <c r="D142" s="47"/>
      <c r="E142" s="102"/>
      <c r="F142" s="102"/>
      <c r="G142" s="103"/>
      <c r="H142" s="103"/>
      <c r="I142" s="103"/>
      <c r="J142" s="17"/>
      <c r="K142" s="17"/>
      <c r="L142" s="17"/>
    </row>
    <row r="143" spans="1:12" s="18" customFormat="1" x14ac:dyDescent="0.25">
      <c r="B143" s="75"/>
      <c r="C143" s="46"/>
      <c r="D143" s="47"/>
      <c r="E143" s="102"/>
      <c r="F143" s="102"/>
      <c r="G143" s="103"/>
      <c r="H143" s="103"/>
      <c r="I143" s="103"/>
      <c r="J143" s="17"/>
      <c r="K143" s="17"/>
      <c r="L143" s="17"/>
    </row>
    <row r="144" spans="1:12" s="18" customFormat="1" x14ac:dyDescent="0.25">
      <c r="B144" s="75"/>
      <c r="C144" s="46"/>
      <c r="D144" s="47"/>
      <c r="E144" s="102"/>
      <c r="F144" s="102"/>
      <c r="G144" s="103"/>
      <c r="H144" s="103"/>
      <c r="I144" s="103"/>
      <c r="J144" s="17"/>
      <c r="K144" s="17"/>
      <c r="L144" s="17"/>
    </row>
    <row r="145" spans="2:12" s="18" customFormat="1" x14ac:dyDescent="0.25">
      <c r="B145" s="75"/>
      <c r="C145" s="46"/>
      <c r="D145" s="47"/>
      <c r="E145" s="102"/>
      <c r="F145" s="102"/>
      <c r="G145" s="103"/>
      <c r="H145" s="103"/>
      <c r="I145" s="103"/>
      <c r="J145" s="17"/>
      <c r="K145" s="17"/>
      <c r="L145" s="17"/>
    </row>
    <row r="146" spans="2:12" s="18" customFormat="1" x14ac:dyDescent="0.25">
      <c r="B146" s="75"/>
      <c r="C146" s="46"/>
      <c r="D146" s="47"/>
      <c r="E146" s="102"/>
      <c r="F146" s="102"/>
      <c r="G146" s="103"/>
      <c r="H146" s="103"/>
      <c r="I146" s="103"/>
      <c r="J146" s="17"/>
      <c r="K146" s="17"/>
      <c r="L146" s="17"/>
    </row>
    <row r="147" spans="2:12" s="18" customFormat="1" x14ac:dyDescent="0.25">
      <c r="B147" s="75"/>
      <c r="C147" s="46"/>
      <c r="D147" s="47"/>
      <c r="E147" s="102"/>
      <c r="F147" s="102"/>
      <c r="G147" s="103"/>
      <c r="H147" s="103"/>
      <c r="I147" s="103"/>
      <c r="J147" s="17"/>
      <c r="K147" s="17"/>
      <c r="L147" s="17"/>
    </row>
    <row r="148" spans="2:12" s="18" customFormat="1" x14ac:dyDescent="0.25">
      <c r="B148" s="75"/>
      <c r="C148" s="46"/>
      <c r="D148" s="47"/>
      <c r="E148" s="102"/>
      <c r="F148" s="102"/>
      <c r="G148" s="103"/>
      <c r="H148" s="103"/>
      <c r="I148" s="103"/>
      <c r="J148" s="17"/>
      <c r="K148" s="17"/>
      <c r="L148" s="17"/>
    </row>
    <row r="149" spans="2:12" s="18" customFormat="1" x14ac:dyDescent="0.25">
      <c r="B149" s="75"/>
      <c r="C149" s="46"/>
      <c r="D149" s="47"/>
      <c r="E149" s="102"/>
      <c r="F149" s="102"/>
      <c r="G149" s="103"/>
      <c r="H149" s="103"/>
      <c r="I149" s="103"/>
      <c r="J149" s="17"/>
      <c r="K149" s="17"/>
      <c r="L149" s="17"/>
    </row>
    <row r="150" spans="2:12" s="18" customFormat="1" x14ac:dyDescent="0.25">
      <c r="B150" s="75"/>
      <c r="C150" s="46"/>
      <c r="D150" s="47"/>
      <c r="E150" s="102"/>
      <c r="F150" s="102"/>
      <c r="G150" s="103"/>
      <c r="H150" s="103"/>
      <c r="I150" s="103"/>
      <c r="J150" s="17"/>
      <c r="K150" s="17"/>
      <c r="L150" s="17"/>
    </row>
    <row r="151" spans="2:12" s="18" customFormat="1" x14ac:dyDescent="0.25">
      <c r="B151" s="75"/>
      <c r="C151" s="46"/>
      <c r="D151" s="47"/>
      <c r="E151" s="102"/>
      <c r="F151" s="102"/>
      <c r="G151" s="103"/>
      <c r="H151" s="103"/>
      <c r="I151" s="103"/>
      <c r="J151" s="17"/>
      <c r="K151" s="17"/>
      <c r="L151" s="17"/>
    </row>
    <row r="152" spans="2:12" s="18" customFormat="1" x14ac:dyDescent="0.25">
      <c r="B152" s="75"/>
      <c r="C152" s="46"/>
      <c r="D152" s="47"/>
      <c r="E152" s="102"/>
      <c r="F152" s="102"/>
      <c r="G152" s="103"/>
      <c r="H152" s="103"/>
      <c r="I152" s="103"/>
      <c r="J152" s="17"/>
      <c r="K152" s="17"/>
      <c r="L152" s="17"/>
    </row>
    <row r="153" spans="2:12" s="18" customFormat="1" x14ac:dyDescent="0.25">
      <c r="B153" s="75"/>
      <c r="C153" s="46"/>
      <c r="D153" s="47"/>
      <c r="E153" s="102"/>
      <c r="F153" s="102"/>
      <c r="G153" s="103"/>
      <c r="H153" s="103"/>
      <c r="I153" s="103"/>
      <c r="J153" s="17"/>
      <c r="K153" s="17"/>
      <c r="L153" s="17"/>
    </row>
    <row r="154" spans="2:12" s="18" customFormat="1" x14ac:dyDescent="0.25">
      <c r="B154" s="75"/>
      <c r="C154" s="46"/>
      <c r="D154" s="47"/>
      <c r="E154" s="102"/>
      <c r="F154" s="102"/>
      <c r="G154" s="103"/>
      <c r="H154" s="103"/>
      <c r="I154" s="103"/>
      <c r="J154" s="17"/>
      <c r="K154" s="17"/>
      <c r="L154" s="17"/>
    </row>
    <row r="155" spans="2:12" s="18" customFormat="1" x14ac:dyDescent="0.25">
      <c r="B155" s="75"/>
      <c r="C155" s="46"/>
      <c r="D155" s="47"/>
      <c r="E155" s="102"/>
      <c r="F155" s="102"/>
      <c r="G155" s="103"/>
      <c r="H155" s="103"/>
      <c r="I155" s="103"/>
      <c r="J155" s="17"/>
      <c r="K155" s="17"/>
      <c r="L155" s="17"/>
    </row>
    <row r="156" spans="2:12" s="18" customFormat="1" x14ac:dyDescent="0.25">
      <c r="B156" s="75"/>
      <c r="C156" s="46"/>
      <c r="D156" s="47"/>
      <c r="E156" s="102"/>
      <c r="F156" s="102"/>
      <c r="G156" s="103"/>
      <c r="H156" s="103"/>
      <c r="I156" s="103"/>
      <c r="J156" s="17"/>
      <c r="K156" s="17"/>
      <c r="L156" s="17"/>
    </row>
    <row r="157" spans="2:12" s="18" customFormat="1" x14ac:dyDescent="0.25">
      <c r="B157" s="75"/>
      <c r="C157" s="46"/>
      <c r="D157" s="47"/>
      <c r="E157" s="102"/>
      <c r="F157" s="102"/>
      <c r="G157" s="103"/>
      <c r="H157" s="103"/>
      <c r="I157" s="103"/>
      <c r="J157" s="17"/>
      <c r="K157" s="17"/>
      <c r="L157" s="17"/>
    </row>
    <row r="158" spans="2:12" s="18" customFormat="1" x14ac:dyDescent="0.25">
      <c r="B158" s="75"/>
      <c r="C158" s="46"/>
      <c r="D158" s="47"/>
      <c r="E158" s="102"/>
      <c r="F158" s="102"/>
      <c r="G158" s="103"/>
      <c r="H158" s="103"/>
      <c r="I158" s="103"/>
      <c r="J158" s="17"/>
      <c r="K158" s="17"/>
      <c r="L158" s="17"/>
    </row>
    <row r="159" spans="2:12" s="18" customFormat="1" x14ac:dyDescent="0.25">
      <c r="B159" s="75"/>
      <c r="C159" s="46"/>
      <c r="D159" s="47"/>
      <c r="E159" s="102"/>
      <c r="F159" s="102"/>
      <c r="G159" s="103"/>
      <c r="H159" s="103"/>
      <c r="I159" s="103"/>
      <c r="J159" s="17"/>
      <c r="K159" s="17"/>
      <c r="L159" s="17"/>
    </row>
    <row r="160" spans="2:12" s="18" customFormat="1" x14ac:dyDescent="0.25">
      <c r="B160" s="75"/>
      <c r="C160" s="46"/>
      <c r="D160" s="47"/>
      <c r="E160" s="102"/>
      <c r="F160" s="102"/>
      <c r="G160" s="103"/>
      <c r="H160" s="103"/>
      <c r="I160" s="103"/>
      <c r="J160" s="17"/>
      <c r="K160" s="17"/>
      <c r="L160" s="17"/>
    </row>
    <row r="161" spans="2:12" s="18" customFormat="1" x14ac:dyDescent="0.25">
      <c r="B161" s="75"/>
      <c r="C161" s="46"/>
      <c r="D161" s="47"/>
      <c r="E161" s="102"/>
      <c r="F161" s="102"/>
      <c r="G161" s="103"/>
      <c r="H161" s="103"/>
      <c r="I161" s="103"/>
      <c r="J161" s="17"/>
      <c r="K161" s="17"/>
      <c r="L161" s="17"/>
    </row>
    <row r="162" spans="2:12" s="18" customFormat="1" x14ac:dyDescent="0.25">
      <c r="B162" s="75"/>
      <c r="C162" s="46"/>
      <c r="D162" s="47"/>
      <c r="E162" s="102"/>
      <c r="F162" s="102"/>
      <c r="G162" s="103"/>
      <c r="H162" s="103"/>
      <c r="I162" s="103"/>
      <c r="J162" s="17"/>
      <c r="K162" s="17"/>
      <c r="L162" s="17"/>
    </row>
    <row r="163" spans="2:12" s="18" customFormat="1" x14ac:dyDescent="0.25">
      <c r="B163" s="75"/>
      <c r="C163" s="46"/>
      <c r="D163" s="47"/>
      <c r="E163" s="102"/>
      <c r="F163" s="102"/>
      <c r="G163" s="103"/>
      <c r="H163" s="103"/>
      <c r="I163" s="103"/>
      <c r="J163" s="17"/>
      <c r="K163" s="17"/>
      <c r="L163" s="17"/>
    </row>
    <row r="164" spans="2:12" s="18" customFormat="1" x14ac:dyDescent="0.25">
      <c r="B164" s="75"/>
      <c r="C164" s="46"/>
      <c r="D164" s="47"/>
      <c r="E164" s="102"/>
      <c r="F164" s="102"/>
      <c r="G164" s="103"/>
      <c r="H164" s="103"/>
      <c r="I164" s="103"/>
      <c r="J164" s="17"/>
      <c r="K164" s="17"/>
      <c r="L164" s="17"/>
    </row>
    <row r="165" spans="2:12" s="18" customFormat="1" x14ac:dyDescent="0.25">
      <c r="B165" s="75"/>
      <c r="C165" s="46"/>
      <c r="D165" s="47"/>
      <c r="E165" s="102"/>
      <c r="F165" s="102"/>
      <c r="G165" s="103"/>
      <c r="H165" s="103"/>
      <c r="I165" s="103"/>
      <c r="J165" s="17"/>
      <c r="K165" s="17"/>
      <c r="L165" s="17"/>
    </row>
    <row r="166" spans="2:12" s="18" customFormat="1" x14ac:dyDescent="0.25">
      <c r="B166" s="75"/>
      <c r="C166" s="46"/>
      <c r="D166" s="47"/>
      <c r="E166" s="102"/>
      <c r="F166" s="102"/>
      <c r="G166" s="103"/>
      <c r="H166" s="103"/>
      <c r="I166" s="103"/>
      <c r="J166" s="17"/>
      <c r="K166" s="17"/>
      <c r="L166" s="17"/>
    </row>
    <row r="167" spans="2:12" s="18" customFormat="1" x14ac:dyDescent="0.25">
      <c r="B167" s="75"/>
      <c r="C167" s="46"/>
      <c r="D167" s="47"/>
      <c r="E167" s="102"/>
      <c r="F167" s="102"/>
      <c r="G167" s="103"/>
      <c r="H167" s="103"/>
      <c r="I167" s="103"/>
      <c r="J167" s="17"/>
      <c r="K167" s="17"/>
      <c r="L167" s="17"/>
    </row>
    <row r="168" spans="2:12" s="18" customFormat="1" x14ac:dyDescent="0.25">
      <c r="B168" s="75"/>
      <c r="C168" s="46"/>
      <c r="D168" s="47"/>
      <c r="E168" s="102"/>
      <c r="F168" s="102"/>
      <c r="G168" s="103"/>
      <c r="H168" s="103"/>
      <c r="I168" s="103"/>
      <c r="J168" s="17"/>
      <c r="K168" s="17"/>
      <c r="L168" s="17"/>
    </row>
    <row r="169" spans="2:12" s="18" customFormat="1" x14ac:dyDescent="0.25">
      <c r="B169" s="75"/>
      <c r="C169" s="46"/>
      <c r="D169" s="47"/>
      <c r="E169" s="102"/>
      <c r="F169" s="102"/>
      <c r="G169" s="103"/>
      <c r="H169" s="103"/>
      <c r="I169" s="103"/>
      <c r="J169" s="17"/>
      <c r="K169" s="17"/>
      <c r="L169" s="17"/>
    </row>
    <row r="170" spans="2:12" s="18" customFormat="1" x14ac:dyDescent="0.25">
      <c r="B170" s="75"/>
      <c r="C170" s="46"/>
      <c r="D170" s="47"/>
      <c r="E170" s="102"/>
      <c r="F170" s="102"/>
      <c r="G170" s="103"/>
      <c r="H170" s="103"/>
      <c r="I170" s="103"/>
      <c r="J170" s="17"/>
      <c r="K170" s="17"/>
      <c r="L170" s="17"/>
    </row>
    <row r="171" spans="2:12" s="18" customFormat="1" x14ac:dyDescent="0.25">
      <c r="B171" s="75"/>
      <c r="C171" s="46"/>
      <c r="D171" s="47"/>
      <c r="E171" s="102"/>
      <c r="F171" s="102"/>
      <c r="G171" s="103"/>
      <c r="H171" s="103"/>
      <c r="I171" s="103"/>
      <c r="J171" s="17"/>
      <c r="K171" s="17"/>
      <c r="L171" s="17"/>
    </row>
    <row r="172" spans="2:12" s="18" customFormat="1" x14ac:dyDescent="0.25">
      <c r="B172" s="75"/>
      <c r="C172" s="46"/>
      <c r="D172" s="47"/>
      <c r="E172" s="102"/>
      <c r="F172" s="102"/>
      <c r="G172" s="103"/>
      <c r="H172" s="103"/>
      <c r="I172" s="103"/>
      <c r="J172" s="17"/>
      <c r="K172" s="17"/>
      <c r="L172" s="17"/>
    </row>
    <row r="173" spans="2:12" s="18" customFormat="1" x14ac:dyDescent="0.25">
      <c r="B173" s="75"/>
      <c r="C173" s="46"/>
      <c r="D173" s="47"/>
      <c r="E173" s="102"/>
      <c r="F173" s="102"/>
      <c r="G173" s="103"/>
      <c r="H173" s="103"/>
      <c r="I173" s="103"/>
      <c r="J173" s="17"/>
      <c r="K173" s="17"/>
      <c r="L173" s="17"/>
    </row>
    <row r="174" spans="2:12" s="18" customFormat="1" x14ac:dyDescent="0.25">
      <c r="B174" s="75"/>
      <c r="C174" s="46"/>
      <c r="D174" s="47"/>
      <c r="E174" s="102"/>
      <c r="F174" s="102"/>
      <c r="G174" s="103"/>
      <c r="H174" s="103"/>
      <c r="I174" s="103"/>
      <c r="J174" s="17"/>
      <c r="K174" s="17"/>
      <c r="L174" s="17"/>
    </row>
    <row r="175" spans="2:12" s="18" customFormat="1" x14ac:dyDescent="0.25">
      <c r="B175" s="75"/>
      <c r="C175" s="46"/>
      <c r="D175" s="47"/>
      <c r="E175" s="102"/>
      <c r="F175" s="102"/>
      <c r="G175" s="103"/>
      <c r="H175" s="103"/>
      <c r="I175" s="103"/>
      <c r="J175" s="17"/>
      <c r="K175" s="17"/>
      <c r="L175" s="17"/>
    </row>
    <row r="176" spans="2:12" s="18" customFormat="1" x14ac:dyDescent="0.25">
      <c r="B176" s="75"/>
      <c r="C176" s="46"/>
      <c r="D176" s="47"/>
      <c r="E176" s="102"/>
      <c r="F176" s="102"/>
      <c r="G176" s="103"/>
      <c r="H176" s="103"/>
      <c r="I176" s="103"/>
      <c r="J176" s="17"/>
      <c r="K176" s="17"/>
      <c r="L176" s="17"/>
    </row>
    <row r="177" spans="2:12" s="18" customFormat="1" x14ac:dyDescent="0.25">
      <c r="B177" s="75"/>
      <c r="C177" s="46"/>
      <c r="D177" s="47"/>
      <c r="E177" s="102"/>
      <c r="F177" s="102"/>
      <c r="G177" s="103"/>
      <c r="H177" s="103"/>
      <c r="I177" s="103"/>
      <c r="J177" s="17"/>
      <c r="K177" s="17"/>
      <c r="L177" s="17"/>
    </row>
    <row r="178" spans="2:12" s="18" customFormat="1" x14ac:dyDescent="0.25">
      <c r="B178" s="75"/>
      <c r="C178" s="46"/>
      <c r="D178" s="47"/>
      <c r="E178" s="102"/>
      <c r="F178" s="102"/>
      <c r="G178" s="103"/>
      <c r="H178" s="103"/>
      <c r="I178" s="103"/>
      <c r="J178" s="17"/>
      <c r="K178" s="17"/>
      <c r="L178" s="17"/>
    </row>
    <row r="179" spans="2:12" s="18" customFormat="1" x14ac:dyDescent="0.25">
      <c r="B179" s="75"/>
      <c r="C179" s="46"/>
      <c r="D179" s="47"/>
      <c r="E179" s="102"/>
      <c r="F179" s="102"/>
      <c r="G179" s="103"/>
      <c r="H179" s="103"/>
      <c r="I179" s="103"/>
      <c r="J179" s="17"/>
      <c r="K179" s="17"/>
      <c r="L179" s="17"/>
    </row>
    <row r="180" spans="2:12" s="18" customFormat="1" x14ac:dyDescent="0.25">
      <c r="B180" s="75"/>
      <c r="C180" s="46"/>
      <c r="D180" s="47"/>
      <c r="E180" s="102"/>
      <c r="F180" s="102"/>
      <c r="G180" s="103"/>
      <c r="H180" s="103"/>
      <c r="I180" s="103"/>
      <c r="J180" s="17"/>
      <c r="K180" s="17"/>
      <c r="L180" s="17"/>
    </row>
    <row r="181" spans="2:12" s="18" customFormat="1" x14ac:dyDescent="0.25">
      <c r="B181" s="75"/>
      <c r="C181" s="46"/>
      <c r="D181" s="47"/>
      <c r="E181" s="102"/>
      <c r="F181" s="102"/>
      <c r="G181" s="103"/>
      <c r="H181" s="103"/>
      <c r="I181" s="103"/>
      <c r="J181" s="17"/>
      <c r="K181" s="17"/>
      <c r="L181" s="17"/>
    </row>
    <row r="182" spans="2:12" s="18" customFormat="1" x14ac:dyDescent="0.25">
      <c r="B182" s="75"/>
      <c r="C182" s="46"/>
      <c r="D182" s="47"/>
      <c r="E182" s="102"/>
      <c r="F182" s="102"/>
      <c r="G182" s="103"/>
      <c r="H182" s="103"/>
      <c r="I182" s="103"/>
      <c r="J182" s="17"/>
      <c r="K182" s="17"/>
      <c r="L182" s="17"/>
    </row>
    <row r="183" spans="2:12" s="18" customFormat="1" x14ac:dyDescent="0.25">
      <c r="B183" s="75"/>
      <c r="C183" s="46"/>
      <c r="D183" s="47"/>
      <c r="E183" s="102"/>
      <c r="F183" s="102"/>
      <c r="G183" s="103"/>
      <c r="H183" s="103"/>
      <c r="I183" s="103"/>
      <c r="J183" s="17"/>
      <c r="K183" s="17"/>
      <c r="L183" s="17"/>
    </row>
    <row r="184" spans="2:12" s="18" customFormat="1" x14ac:dyDescent="0.25">
      <c r="B184" s="75"/>
      <c r="C184" s="46"/>
      <c r="D184" s="47"/>
      <c r="E184" s="102"/>
      <c r="F184" s="102"/>
      <c r="G184" s="103"/>
      <c r="H184" s="103"/>
      <c r="I184" s="103"/>
      <c r="J184" s="17"/>
      <c r="K184" s="17"/>
      <c r="L184" s="17"/>
    </row>
    <row r="185" spans="2:12" s="18" customFormat="1" x14ac:dyDescent="0.25">
      <c r="B185" s="75"/>
      <c r="C185" s="46"/>
      <c r="D185" s="47"/>
      <c r="E185" s="102"/>
      <c r="F185" s="102"/>
      <c r="G185" s="103"/>
      <c r="H185" s="103"/>
      <c r="I185" s="103"/>
      <c r="J185" s="17"/>
      <c r="K185" s="17"/>
      <c r="L185" s="17"/>
    </row>
    <row r="186" spans="2:12" s="18" customFormat="1" x14ac:dyDescent="0.25">
      <c r="B186" s="75"/>
      <c r="C186" s="46"/>
      <c r="D186" s="47"/>
      <c r="E186" s="102"/>
      <c r="F186" s="102"/>
      <c r="G186" s="103"/>
      <c r="H186" s="103"/>
      <c r="I186" s="103"/>
      <c r="J186" s="17"/>
      <c r="K186" s="17"/>
      <c r="L186" s="17"/>
    </row>
    <row r="187" spans="2:12" s="18" customFormat="1" x14ac:dyDescent="0.25">
      <c r="B187" s="75"/>
      <c r="C187" s="46"/>
      <c r="D187" s="47"/>
      <c r="E187" s="102"/>
      <c r="F187" s="102"/>
      <c r="G187" s="103"/>
      <c r="H187" s="103"/>
      <c r="I187" s="103"/>
      <c r="J187" s="17"/>
      <c r="K187" s="17"/>
      <c r="L187" s="17"/>
    </row>
    <row r="188" spans="2:12" s="18" customFormat="1" x14ac:dyDescent="0.25">
      <c r="B188" s="75"/>
      <c r="C188" s="46"/>
      <c r="D188" s="47"/>
      <c r="E188" s="102"/>
      <c r="F188" s="102"/>
      <c r="G188" s="103"/>
      <c r="H188" s="103"/>
      <c r="I188" s="103"/>
      <c r="J188" s="17"/>
      <c r="K188" s="17"/>
      <c r="L188" s="17"/>
    </row>
    <row r="189" spans="2:12" s="18" customFormat="1" x14ac:dyDescent="0.25">
      <c r="B189" s="75"/>
      <c r="C189" s="46"/>
      <c r="D189" s="47"/>
      <c r="E189" s="102"/>
      <c r="F189" s="102"/>
      <c r="G189" s="103"/>
      <c r="H189" s="103"/>
      <c r="I189" s="103"/>
      <c r="J189" s="17"/>
      <c r="K189" s="17"/>
      <c r="L189" s="17"/>
    </row>
    <row r="190" spans="2:12" s="18" customFormat="1" x14ac:dyDescent="0.25">
      <c r="B190" s="75"/>
      <c r="C190" s="46"/>
      <c r="D190" s="47"/>
      <c r="E190" s="102"/>
      <c r="F190" s="102"/>
      <c r="G190" s="103"/>
      <c r="H190" s="103"/>
      <c r="I190" s="103"/>
      <c r="J190" s="17"/>
      <c r="K190" s="17"/>
      <c r="L190" s="17"/>
    </row>
    <row r="191" spans="2:12" s="18" customFormat="1" x14ac:dyDescent="0.25">
      <c r="B191" s="75"/>
      <c r="C191" s="46"/>
      <c r="D191" s="47"/>
      <c r="E191" s="102"/>
      <c r="F191" s="102"/>
      <c r="G191" s="103"/>
      <c r="H191" s="103"/>
      <c r="I191" s="103"/>
      <c r="J191" s="17"/>
      <c r="K191" s="17"/>
      <c r="L191" s="17"/>
    </row>
    <row r="192" spans="2:12" s="18" customFormat="1" x14ac:dyDescent="0.25">
      <c r="B192" s="75"/>
      <c r="C192" s="46"/>
      <c r="D192" s="47"/>
      <c r="E192" s="102"/>
      <c r="F192" s="102"/>
      <c r="G192" s="103"/>
      <c r="H192" s="103"/>
      <c r="I192" s="103"/>
      <c r="J192" s="17"/>
      <c r="K192" s="17"/>
      <c r="L192" s="17"/>
    </row>
    <row r="193" spans="2:12" s="18" customFormat="1" x14ac:dyDescent="0.25">
      <c r="B193" s="75"/>
      <c r="C193" s="46"/>
      <c r="D193" s="47"/>
      <c r="E193" s="102"/>
      <c r="F193" s="102"/>
      <c r="G193" s="103"/>
      <c r="H193" s="103"/>
      <c r="I193" s="103"/>
      <c r="J193" s="17"/>
      <c r="K193" s="17"/>
      <c r="L193" s="17"/>
    </row>
    <row r="194" spans="2:12" s="18" customFormat="1" x14ac:dyDescent="0.25">
      <c r="B194" s="75"/>
      <c r="C194" s="46"/>
      <c r="D194" s="47"/>
      <c r="E194" s="102"/>
      <c r="F194" s="102"/>
      <c r="G194" s="103"/>
      <c r="H194" s="103"/>
      <c r="I194" s="103"/>
      <c r="J194" s="17"/>
      <c r="K194" s="17"/>
      <c r="L194" s="17"/>
    </row>
    <row r="195" spans="2:12" s="18" customFormat="1" x14ac:dyDescent="0.25">
      <c r="B195" s="75"/>
      <c r="C195" s="46"/>
      <c r="D195" s="47"/>
      <c r="E195" s="102"/>
      <c r="F195" s="102"/>
      <c r="G195" s="103"/>
      <c r="H195" s="103"/>
      <c r="I195" s="103"/>
      <c r="J195" s="17"/>
      <c r="K195" s="17"/>
      <c r="L195" s="17"/>
    </row>
    <row r="196" spans="2:12" s="18" customFormat="1" x14ac:dyDescent="0.25">
      <c r="B196" s="75"/>
      <c r="C196" s="46"/>
      <c r="D196" s="47"/>
      <c r="E196" s="102"/>
      <c r="F196" s="102"/>
      <c r="G196" s="103"/>
      <c r="H196" s="103"/>
      <c r="I196" s="103"/>
      <c r="J196" s="17"/>
      <c r="K196" s="17"/>
      <c r="L196" s="17"/>
    </row>
    <row r="197" spans="2:12" s="18" customFormat="1" x14ac:dyDescent="0.25">
      <c r="B197" s="75"/>
      <c r="C197" s="46"/>
      <c r="D197" s="47"/>
      <c r="E197" s="102"/>
      <c r="F197" s="102"/>
      <c r="G197" s="103"/>
      <c r="H197" s="103"/>
      <c r="I197" s="103"/>
      <c r="J197" s="17"/>
      <c r="K197" s="17"/>
      <c r="L197" s="17"/>
    </row>
    <row r="198" spans="2:12" s="18" customFormat="1" x14ac:dyDescent="0.25">
      <c r="B198" s="75"/>
      <c r="C198" s="46"/>
      <c r="D198" s="47"/>
      <c r="E198" s="102"/>
      <c r="F198" s="102"/>
      <c r="G198" s="103"/>
      <c r="H198" s="103"/>
      <c r="I198" s="103"/>
      <c r="J198" s="17"/>
      <c r="K198" s="17"/>
      <c r="L198" s="17"/>
    </row>
    <row r="199" spans="2:12" s="18" customFormat="1" x14ac:dyDescent="0.25">
      <c r="B199" s="75"/>
      <c r="C199" s="46"/>
      <c r="D199" s="47"/>
      <c r="E199" s="102"/>
      <c r="F199" s="102"/>
      <c r="G199" s="103"/>
      <c r="H199" s="103"/>
      <c r="I199" s="103"/>
      <c r="J199" s="17"/>
      <c r="K199" s="17"/>
      <c r="L199" s="17"/>
    </row>
    <row r="200" spans="2:12" s="18" customFormat="1" x14ac:dyDescent="0.25">
      <c r="B200" s="75"/>
      <c r="C200" s="46"/>
      <c r="D200" s="47"/>
      <c r="E200" s="102"/>
      <c r="F200" s="102"/>
      <c r="G200" s="103"/>
      <c r="H200" s="103"/>
      <c r="I200" s="103"/>
      <c r="J200" s="17"/>
      <c r="K200" s="17"/>
      <c r="L200" s="17"/>
    </row>
    <row r="201" spans="2:12" s="18" customFormat="1" x14ac:dyDescent="0.25">
      <c r="B201" s="75"/>
      <c r="C201" s="46"/>
      <c r="D201" s="47"/>
      <c r="E201" s="102"/>
      <c r="F201" s="102"/>
      <c r="G201" s="103"/>
      <c r="H201" s="103"/>
      <c r="I201" s="103"/>
      <c r="J201" s="17"/>
      <c r="K201" s="17"/>
      <c r="L201" s="17"/>
    </row>
    <row r="202" spans="2:12" s="18" customFormat="1" x14ac:dyDescent="0.25">
      <c r="B202" s="75"/>
      <c r="C202" s="46"/>
      <c r="D202" s="47"/>
      <c r="E202" s="102"/>
      <c r="F202" s="102"/>
      <c r="G202" s="103"/>
      <c r="H202" s="103"/>
      <c r="I202" s="103"/>
      <c r="J202" s="17"/>
      <c r="K202" s="17"/>
      <c r="L202" s="17"/>
    </row>
    <row r="203" spans="2:12" s="18" customFormat="1" x14ac:dyDescent="0.25">
      <c r="B203" s="75"/>
      <c r="C203" s="46"/>
      <c r="D203" s="47"/>
      <c r="E203" s="102"/>
      <c r="F203" s="102"/>
      <c r="G203" s="103"/>
      <c r="H203" s="103"/>
      <c r="I203" s="103"/>
      <c r="J203" s="17"/>
      <c r="K203" s="17"/>
      <c r="L203" s="17"/>
    </row>
    <row r="204" spans="2:12" s="18" customFormat="1" x14ac:dyDescent="0.25">
      <c r="B204" s="75"/>
      <c r="C204" s="46"/>
      <c r="D204" s="47"/>
      <c r="E204" s="102"/>
      <c r="F204" s="102"/>
      <c r="G204" s="103"/>
      <c r="H204" s="103"/>
      <c r="I204" s="103"/>
      <c r="J204" s="17"/>
      <c r="K204" s="17"/>
      <c r="L204" s="17"/>
    </row>
    <row r="205" spans="2:12" s="18" customFormat="1" x14ac:dyDescent="0.25">
      <c r="B205" s="75"/>
      <c r="C205" s="46"/>
      <c r="D205" s="47"/>
      <c r="E205" s="102"/>
      <c r="F205" s="102"/>
      <c r="G205" s="103"/>
      <c r="H205" s="103"/>
      <c r="I205" s="103"/>
      <c r="J205" s="17"/>
      <c r="K205" s="17"/>
      <c r="L205" s="17"/>
    </row>
    <row r="206" spans="2:12" s="18" customFormat="1" x14ac:dyDescent="0.25">
      <c r="B206" s="75"/>
      <c r="C206" s="46"/>
      <c r="D206" s="47"/>
      <c r="E206" s="102"/>
      <c r="F206" s="102"/>
      <c r="G206" s="103"/>
      <c r="H206" s="103"/>
      <c r="I206" s="103"/>
      <c r="J206" s="17"/>
      <c r="K206" s="17"/>
      <c r="L206" s="17"/>
    </row>
    <row r="207" spans="2:12" s="18" customFormat="1" x14ac:dyDescent="0.25">
      <c r="B207" s="75"/>
      <c r="C207" s="46"/>
      <c r="D207" s="47"/>
      <c r="E207" s="102"/>
      <c r="F207" s="102"/>
      <c r="G207" s="103"/>
      <c r="H207" s="103"/>
      <c r="I207" s="103"/>
      <c r="J207" s="17"/>
      <c r="K207" s="17"/>
      <c r="L207" s="17"/>
    </row>
    <row r="208" spans="2:12" s="18" customFormat="1" x14ac:dyDescent="0.25">
      <c r="B208" s="75"/>
      <c r="C208" s="46"/>
      <c r="D208" s="47"/>
      <c r="E208" s="102"/>
      <c r="F208" s="102"/>
      <c r="G208" s="103"/>
      <c r="H208" s="103"/>
      <c r="I208" s="103"/>
      <c r="J208" s="17"/>
      <c r="K208" s="17"/>
      <c r="L208" s="17"/>
    </row>
    <row r="209" spans="2:12" s="18" customFormat="1" x14ac:dyDescent="0.25">
      <c r="B209" s="75"/>
      <c r="C209" s="46"/>
      <c r="D209" s="47"/>
      <c r="E209" s="102"/>
      <c r="F209" s="102"/>
      <c r="G209" s="103"/>
      <c r="H209" s="103"/>
      <c r="I209" s="103"/>
      <c r="J209" s="17"/>
      <c r="K209" s="17"/>
      <c r="L209" s="17"/>
    </row>
    <row r="210" spans="2:12" s="18" customFormat="1" x14ac:dyDescent="0.25">
      <c r="B210" s="75"/>
      <c r="C210" s="46"/>
      <c r="D210" s="47"/>
      <c r="E210" s="102"/>
      <c r="F210" s="102"/>
      <c r="G210" s="103"/>
      <c r="H210" s="103"/>
      <c r="I210" s="103"/>
      <c r="J210" s="17"/>
      <c r="K210" s="17"/>
      <c r="L210" s="17"/>
    </row>
    <row r="211" spans="2:12" s="18" customFormat="1" x14ac:dyDescent="0.25">
      <c r="B211" s="75"/>
      <c r="C211" s="46"/>
      <c r="D211" s="47"/>
      <c r="E211" s="102"/>
      <c r="F211" s="102"/>
      <c r="G211" s="103"/>
      <c r="H211" s="103"/>
      <c r="I211" s="103"/>
      <c r="J211" s="17"/>
      <c r="K211" s="17"/>
      <c r="L211" s="17"/>
    </row>
    <row r="212" spans="2:12" s="18" customFormat="1" x14ac:dyDescent="0.25">
      <c r="B212" s="75"/>
      <c r="C212" s="46"/>
      <c r="D212" s="47"/>
      <c r="E212" s="102"/>
      <c r="F212" s="102"/>
      <c r="G212" s="103"/>
      <c r="H212" s="103"/>
      <c r="I212" s="103"/>
      <c r="J212" s="17"/>
      <c r="K212" s="17"/>
      <c r="L212" s="17"/>
    </row>
    <row r="213" spans="2:12" s="18" customFormat="1" x14ac:dyDescent="0.25">
      <c r="B213" s="75"/>
      <c r="C213" s="46"/>
      <c r="D213" s="47"/>
      <c r="E213" s="102"/>
      <c r="F213" s="102"/>
      <c r="G213" s="103"/>
      <c r="H213" s="103"/>
      <c r="I213" s="103"/>
      <c r="J213" s="17"/>
      <c r="K213" s="17"/>
      <c r="L213" s="17"/>
    </row>
    <row r="214" spans="2:12" s="18" customFormat="1" x14ac:dyDescent="0.25">
      <c r="B214" s="75"/>
      <c r="C214" s="46"/>
      <c r="D214" s="47"/>
      <c r="E214" s="102"/>
      <c r="F214" s="102"/>
      <c r="G214" s="103"/>
      <c r="H214" s="103"/>
      <c r="I214" s="103"/>
      <c r="J214" s="17"/>
      <c r="K214" s="17"/>
      <c r="L214" s="17"/>
    </row>
    <row r="215" spans="2:12" s="18" customFormat="1" x14ac:dyDescent="0.25">
      <c r="B215" s="75"/>
      <c r="C215" s="46"/>
      <c r="D215" s="47"/>
      <c r="E215" s="102"/>
      <c r="F215" s="102"/>
      <c r="G215" s="103"/>
      <c r="H215" s="103"/>
      <c r="I215" s="103"/>
      <c r="J215" s="17"/>
      <c r="K215" s="17"/>
      <c r="L215" s="17"/>
    </row>
    <row r="216" spans="2:12" s="18" customFormat="1" x14ac:dyDescent="0.25">
      <c r="B216" s="75"/>
      <c r="C216" s="46"/>
      <c r="D216" s="47"/>
      <c r="E216" s="102"/>
      <c r="F216" s="102"/>
      <c r="G216" s="103"/>
      <c r="H216" s="103"/>
      <c r="I216" s="103"/>
      <c r="J216" s="17"/>
      <c r="K216" s="17"/>
      <c r="L216" s="17"/>
    </row>
    <row r="217" spans="2:12" s="18" customFormat="1" x14ac:dyDescent="0.25">
      <c r="B217" s="75"/>
      <c r="C217" s="46"/>
      <c r="D217" s="47"/>
      <c r="E217" s="102"/>
      <c r="F217" s="102"/>
      <c r="G217" s="103"/>
      <c r="H217" s="103"/>
      <c r="I217" s="103"/>
      <c r="J217" s="17"/>
      <c r="K217" s="17"/>
      <c r="L217" s="17"/>
    </row>
    <row r="218" spans="2:12" s="18" customFormat="1" x14ac:dyDescent="0.25">
      <c r="B218" s="75"/>
      <c r="C218" s="46"/>
      <c r="D218" s="47"/>
      <c r="E218" s="102"/>
      <c r="F218" s="102"/>
      <c r="G218" s="103"/>
      <c r="H218" s="103"/>
      <c r="I218" s="103"/>
      <c r="J218" s="17"/>
      <c r="K218" s="17"/>
      <c r="L218" s="17"/>
    </row>
    <row r="219" spans="2:12" s="18" customFormat="1" x14ac:dyDescent="0.25">
      <c r="B219" s="75"/>
      <c r="C219" s="46"/>
      <c r="D219" s="47"/>
      <c r="E219" s="102"/>
      <c r="F219" s="102"/>
      <c r="G219" s="103"/>
      <c r="H219" s="103"/>
      <c r="I219" s="103"/>
      <c r="J219" s="17"/>
      <c r="K219" s="17"/>
      <c r="L219" s="17"/>
    </row>
    <row r="220" spans="2:12" s="18" customFormat="1" x14ac:dyDescent="0.25">
      <c r="B220" s="75"/>
      <c r="C220" s="46"/>
      <c r="D220" s="47"/>
      <c r="E220" s="102"/>
      <c r="F220" s="102"/>
      <c r="G220" s="103"/>
      <c r="H220" s="103"/>
      <c r="I220" s="103"/>
      <c r="J220" s="17"/>
      <c r="K220" s="17"/>
      <c r="L220" s="17"/>
    </row>
    <row r="221" spans="2:12" s="18" customFormat="1" x14ac:dyDescent="0.25">
      <c r="B221" s="75"/>
      <c r="C221" s="46"/>
      <c r="D221" s="47"/>
      <c r="E221" s="102"/>
      <c r="F221" s="102"/>
      <c r="G221" s="103"/>
      <c r="H221" s="103"/>
      <c r="I221" s="103"/>
      <c r="J221" s="17"/>
      <c r="K221" s="17"/>
      <c r="L221" s="17"/>
    </row>
    <row r="222" spans="2:12" s="18" customFormat="1" x14ac:dyDescent="0.25">
      <c r="B222" s="75"/>
      <c r="C222" s="46"/>
      <c r="D222" s="47"/>
      <c r="E222" s="102"/>
      <c r="F222" s="102"/>
      <c r="G222" s="103"/>
      <c r="H222" s="103"/>
      <c r="I222" s="103"/>
      <c r="J222" s="17"/>
      <c r="K222" s="17"/>
      <c r="L222" s="17"/>
    </row>
    <row r="223" spans="2:12" s="18" customFormat="1" x14ac:dyDescent="0.25">
      <c r="B223" s="75"/>
      <c r="C223" s="46"/>
      <c r="D223" s="47"/>
      <c r="E223" s="102"/>
      <c r="F223" s="102"/>
      <c r="G223" s="103"/>
      <c r="H223" s="103"/>
      <c r="I223" s="103"/>
      <c r="J223" s="17"/>
      <c r="K223" s="17"/>
      <c r="L223" s="17"/>
    </row>
    <row r="224" spans="2:12" s="18" customFormat="1" x14ac:dyDescent="0.25">
      <c r="B224" s="75"/>
      <c r="C224" s="46"/>
      <c r="D224" s="47"/>
      <c r="E224" s="102"/>
      <c r="F224" s="102"/>
      <c r="G224" s="103"/>
      <c r="H224" s="103"/>
      <c r="I224" s="103"/>
      <c r="J224" s="17"/>
      <c r="K224" s="17"/>
      <c r="L224" s="17"/>
    </row>
    <row r="225" spans="2:12" s="18" customFormat="1" x14ac:dyDescent="0.25">
      <c r="B225" s="75"/>
      <c r="C225" s="46"/>
      <c r="D225" s="47"/>
      <c r="E225" s="102"/>
      <c r="F225" s="102"/>
      <c r="G225" s="103"/>
      <c r="H225" s="103"/>
      <c r="I225" s="103"/>
      <c r="J225" s="17"/>
      <c r="K225" s="17"/>
      <c r="L225" s="17"/>
    </row>
    <row r="226" spans="2:12" s="18" customFormat="1" x14ac:dyDescent="0.25">
      <c r="B226" s="75"/>
      <c r="C226" s="46"/>
      <c r="D226" s="47"/>
      <c r="E226" s="102"/>
      <c r="F226" s="102"/>
      <c r="G226" s="103"/>
      <c r="H226" s="103"/>
      <c r="I226" s="103"/>
      <c r="J226" s="17"/>
      <c r="K226" s="17"/>
      <c r="L226" s="17"/>
    </row>
    <row r="227" spans="2:12" s="18" customFormat="1" x14ac:dyDescent="0.25">
      <c r="B227" s="75"/>
      <c r="C227" s="46"/>
      <c r="D227" s="47"/>
      <c r="E227" s="102"/>
      <c r="F227" s="102"/>
      <c r="G227" s="103"/>
      <c r="H227" s="103"/>
      <c r="I227" s="103"/>
      <c r="J227" s="17"/>
      <c r="K227" s="17"/>
      <c r="L227" s="17"/>
    </row>
    <row r="228" spans="2:12" s="18" customFormat="1" x14ac:dyDescent="0.25">
      <c r="B228" s="75"/>
      <c r="C228" s="46"/>
      <c r="D228" s="47"/>
      <c r="E228" s="102"/>
      <c r="F228" s="102"/>
      <c r="G228" s="103"/>
      <c r="H228" s="103"/>
      <c r="I228" s="103"/>
      <c r="J228" s="17"/>
      <c r="K228" s="17"/>
      <c r="L228" s="17"/>
    </row>
    <row r="229" spans="2:12" s="18" customFormat="1" x14ac:dyDescent="0.25">
      <c r="B229" s="75"/>
      <c r="C229" s="46"/>
      <c r="D229" s="47"/>
      <c r="E229" s="102"/>
      <c r="F229" s="102"/>
      <c r="G229" s="103"/>
      <c r="H229" s="103"/>
      <c r="I229" s="103"/>
      <c r="J229" s="17"/>
      <c r="K229" s="17"/>
      <c r="L229" s="17"/>
    </row>
    <row r="230" spans="2:12" s="18" customFormat="1" x14ac:dyDescent="0.25">
      <c r="B230" s="75"/>
      <c r="C230" s="46"/>
      <c r="D230" s="47"/>
      <c r="E230" s="102"/>
      <c r="F230" s="102"/>
      <c r="G230" s="103"/>
      <c r="H230" s="103"/>
      <c r="I230" s="103"/>
      <c r="J230" s="17"/>
      <c r="K230" s="17"/>
      <c r="L230" s="17"/>
    </row>
    <row r="231" spans="2:12" s="18" customFormat="1" x14ac:dyDescent="0.25">
      <c r="B231" s="75"/>
      <c r="C231" s="46"/>
      <c r="D231" s="47"/>
      <c r="E231" s="102"/>
      <c r="F231" s="102"/>
      <c r="G231" s="103"/>
      <c r="H231" s="103"/>
      <c r="I231" s="103"/>
      <c r="J231" s="17"/>
      <c r="K231" s="17"/>
      <c r="L231" s="17"/>
    </row>
    <row r="232" spans="2:12" s="18" customFormat="1" x14ac:dyDescent="0.25">
      <c r="B232" s="75"/>
      <c r="C232" s="46"/>
      <c r="D232" s="47"/>
      <c r="E232" s="102"/>
      <c r="F232" s="102"/>
      <c r="G232" s="103"/>
      <c r="H232" s="103"/>
      <c r="I232" s="103"/>
      <c r="J232" s="17"/>
      <c r="K232" s="17"/>
      <c r="L232" s="17"/>
    </row>
    <row r="233" spans="2:12" s="18" customFormat="1" x14ac:dyDescent="0.25">
      <c r="B233" s="75"/>
      <c r="C233" s="46"/>
      <c r="D233" s="47"/>
      <c r="E233" s="102"/>
      <c r="F233" s="102"/>
      <c r="G233" s="103"/>
      <c r="H233" s="103"/>
      <c r="I233" s="103"/>
      <c r="J233" s="17"/>
      <c r="K233" s="17"/>
      <c r="L233" s="17"/>
    </row>
    <row r="234" spans="2:12" s="18" customFormat="1" x14ac:dyDescent="0.25">
      <c r="B234" s="75"/>
      <c r="C234" s="46"/>
      <c r="D234" s="47"/>
      <c r="E234" s="102"/>
      <c r="F234" s="102"/>
      <c r="G234" s="103"/>
      <c r="H234" s="103"/>
      <c r="I234" s="103"/>
      <c r="J234" s="17"/>
      <c r="K234" s="17"/>
      <c r="L234" s="17"/>
    </row>
    <row r="235" spans="2:12" s="18" customFormat="1" x14ac:dyDescent="0.25">
      <c r="B235" s="75"/>
      <c r="C235" s="46"/>
      <c r="D235" s="47"/>
      <c r="E235" s="102"/>
      <c r="F235" s="102"/>
      <c r="G235" s="103"/>
      <c r="H235" s="103"/>
      <c r="I235" s="103"/>
      <c r="J235" s="17"/>
      <c r="K235" s="17"/>
      <c r="L235" s="17"/>
    </row>
    <row r="236" spans="2:12" s="18" customFormat="1" x14ac:dyDescent="0.25">
      <c r="B236" s="75"/>
      <c r="C236" s="46"/>
      <c r="D236" s="47"/>
      <c r="E236" s="102"/>
      <c r="F236" s="102"/>
      <c r="G236" s="103"/>
      <c r="H236" s="103"/>
      <c r="I236" s="103"/>
      <c r="J236" s="17"/>
      <c r="K236" s="17"/>
      <c r="L236" s="17"/>
    </row>
    <row r="237" spans="2:12" s="18" customFormat="1" x14ac:dyDescent="0.25">
      <c r="B237" s="75"/>
      <c r="C237" s="46"/>
      <c r="D237" s="47"/>
      <c r="E237" s="102"/>
      <c r="F237" s="102"/>
      <c r="G237" s="103"/>
      <c r="H237" s="103"/>
      <c r="I237" s="103"/>
      <c r="J237" s="17"/>
      <c r="K237" s="17"/>
      <c r="L237" s="17"/>
    </row>
    <row r="238" spans="2:12" s="18" customFormat="1" x14ac:dyDescent="0.25">
      <c r="B238" s="75"/>
      <c r="C238" s="46"/>
      <c r="D238" s="47"/>
      <c r="E238" s="102"/>
      <c r="F238" s="102"/>
      <c r="G238" s="103"/>
      <c r="H238" s="103"/>
      <c r="I238" s="103"/>
      <c r="J238" s="17"/>
      <c r="K238" s="17"/>
      <c r="L238" s="17"/>
    </row>
    <row r="239" spans="2:12" s="18" customFormat="1" x14ac:dyDescent="0.25">
      <c r="B239" s="75"/>
      <c r="C239" s="46"/>
      <c r="D239" s="47"/>
      <c r="E239" s="102"/>
      <c r="F239" s="102"/>
      <c r="G239" s="103"/>
      <c r="H239" s="103"/>
      <c r="I239" s="103"/>
      <c r="J239" s="17"/>
      <c r="K239" s="17"/>
      <c r="L239" s="17"/>
    </row>
    <row r="240" spans="2:12" s="18" customFormat="1" x14ac:dyDescent="0.25">
      <c r="B240" s="75"/>
      <c r="C240" s="46"/>
      <c r="D240" s="47"/>
      <c r="E240" s="102"/>
      <c r="F240" s="102"/>
      <c r="G240" s="103"/>
      <c r="H240" s="103"/>
      <c r="I240" s="103"/>
      <c r="J240" s="17"/>
      <c r="K240" s="17"/>
      <c r="L240" s="17"/>
    </row>
    <row r="241" spans="2:12" s="18" customFormat="1" x14ac:dyDescent="0.25">
      <c r="B241" s="75"/>
      <c r="C241" s="46"/>
      <c r="D241" s="47"/>
      <c r="E241" s="102"/>
      <c r="F241" s="102"/>
      <c r="G241" s="103"/>
      <c r="H241" s="103"/>
      <c r="I241" s="103"/>
      <c r="J241" s="17"/>
      <c r="K241" s="17"/>
      <c r="L241" s="17"/>
    </row>
    <row r="242" spans="2:12" s="18" customFormat="1" x14ac:dyDescent="0.25">
      <c r="B242" s="75"/>
      <c r="C242" s="46"/>
      <c r="D242" s="47"/>
      <c r="E242" s="102"/>
      <c r="F242" s="102"/>
      <c r="G242" s="103"/>
      <c r="H242" s="103"/>
      <c r="I242" s="103"/>
      <c r="J242" s="17"/>
      <c r="K242" s="17"/>
      <c r="L242" s="17"/>
    </row>
    <row r="243" spans="2:12" s="18" customFormat="1" x14ac:dyDescent="0.25">
      <c r="B243" s="75"/>
      <c r="C243" s="46"/>
      <c r="D243" s="47"/>
      <c r="E243" s="102"/>
      <c r="F243" s="102"/>
      <c r="G243" s="103"/>
      <c r="H243" s="103"/>
      <c r="I243" s="103"/>
      <c r="J243" s="17"/>
      <c r="K243" s="17"/>
      <c r="L243" s="17"/>
    </row>
    <row r="244" spans="2:12" s="18" customFormat="1" x14ac:dyDescent="0.25">
      <c r="B244" s="75"/>
      <c r="C244" s="46"/>
      <c r="D244" s="47"/>
      <c r="E244" s="102"/>
      <c r="F244" s="102"/>
      <c r="G244" s="103"/>
      <c r="H244" s="103"/>
      <c r="I244" s="103"/>
      <c r="J244" s="17"/>
      <c r="K244" s="17"/>
      <c r="L244" s="17"/>
    </row>
    <row r="245" spans="2:12" s="18" customFormat="1" x14ac:dyDescent="0.25">
      <c r="B245" s="75"/>
      <c r="C245" s="46"/>
      <c r="D245" s="47"/>
      <c r="E245" s="102"/>
      <c r="F245" s="102"/>
      <c r="G245" s="103"/>
      <c r="H245" s="103"/>
      <c r="I245" s="103"/>
      <c r="J245" s="17"/>
      <c r="K245" s="17"/>
      <c r="L245" s="17"/>
    </row>
    <row r="246" spans="2:12" s="18" customFormat="1" x14ac:dyDescent="0.25">
      <c r="B246" s="75"/>
      <c r="C246" s="46"/>
      <c r="D246" s="47"/>
      <c r="E246" s="102"/>
      <c r="F246" s="102"/>
      <c r="G246" s="103"/>
      <c r="H246" s="103"/>
      <c r="I246" s="103"/>
      <c r="J246" s="17"/>
      <c r="K246" s="17"/>
      <c r="L246" s="17"/>
    </row>
    <row r="247" spans="2:12" s="18" customFormat="1" x14ac:dyDescent="0.25">
      <c r="B247" s="75"/>
      <c r="C247" s="46"/>
      <c r="D247" s="47"/>
      <c r="E247" s="102"/>
      <c r="F247" s="102"/>
      <c r="G247" s="103"/>
      <c r="H247" s="103"/>
      <c r="I247" s="103"/>
      <c r="J247" s="17"/>
      <c r="K247" s="17"/>
      <c r="L247" s="17"/>
    </row>
    <row r="248" spans="2:12" s="18" customFormat="1" x14ac:dyDescent="0.25">
      <c r="B248" s="75"/>
      <c r="C248" s="46"/>
      <c r="D248" s="47"/>
      <c r="E248" s="102"/>
      <c r="F248" s="102"/>
      <c r="G248" s="103"/>
      <c r="H248" s="103"/>
      <c r="I248" s="103"/>
      <c r="J248" s="17"/>
      <c r="K248" s="17"/>
      <c r="L248" s="17"/>
    </row>
    <row r="249" spans="2:12" s="18" customFormat="1" x14ac:dyDescent="0.25">
      <c r="B249" s="75"/>
      <c r="C249" s="46"/>
      <c r="D249" s="47"/>
      <c r="E249" s="102"/>
      <c r="F249" s="102"/>
      <c r="G249" s="103"/>
      <c r="H249" s="103"/>
      <c r="I249" s="103"/>
      <c r="J249" s="17"/>
      <c r="K249" s="17"/>
      <c r="L249" s="17"/>
    </row>
    <row r="250" spans="2:12" s="18" customFormat="1" x14ac:dyDescent="0.25">
      <c r="B250" s="75"/>
      <c r="C250" s="46"/>
      <c r="D250" s="47"/>
      <c r="E250" s="102"/>
      <c r="F250" s="102"/>
      <c r="G250" s="103"/>
      <c r="H250" s="103"/>
      <c r="I250" s="103"/>
      <c r="J250" s="17"/>
      <c r="K250" s="17"/>
      <c r="L250" s="17"/>
    </row>
    <row r="251" spans="2:12" s="18" customFormat="1" x14ac:dyDescent="0.25">
      <c r="B251" s="75"/>
      <c r="C251" s="46"/>
      <c r="D251" s="47"/>
      <c r="E251" s="102"/>
      <c r="F251" s="102"/>
      <c r="G251" s="103"/>
      <c r="H251" s="103"/>
      <c r="I251" s="103"/>
      <c r="J251" s="17"/>
      <c r="K251" s="17"/>
      <c r="L251" s="17"/>
    </row>
    <row r="252" spans="2:12" s="18" customFormat="1" x14ac:dyDescent="0.25">
      <c r="B252" s="75"/>
      <c r="C252" s="46"/>
      <c r="D252" s="47"/>
      <c r="E252" s="102"/>
      <c r="F252" s="102"/>
      <c r="G252" s="103"/>
      <c r="H252" s="103"/>
      <c r="I252" s="103"/>
      <c r="J252" s="17"/>
      <c r="K252" s="17"/>
      <c r="L252" s="17"/>
    </row>
    <row r="253" spans="2:12" s="18" customFormat="1" x14ac:dyDescent="0.25">
      <c r="B253" s="75"/>
      <c r="C253" s="46"/>
      <c r="D253" s="47"/>
      <c r="E253" s="102"/>
      <c r="F253" s="102"/>
      <c r="G253" s="103"/>
      <c r="H253" s="103"/>
      <c r="I253" s="103"/>
      <c r="J253" s="17"/>
      <c r="K253" s="17"/>
      <c r="L253" s="17"/>
    </row>
    <row r="254" spans="2:12" s="18" customFormat="1" x14ac:dyDescent="0.25">
      <c r="B254" s="75"/>
      <c r="C254" s="46"/>
      <c r="D254" s="47"/>
      <c r="E254" s="102"/>
      <c r="F254" s="102"/>
      <c r="G254" s="103"/>
      <c r="H254" s="103"/>
      <c r="I254" s="103"/>
      <c r="J254" s="17"/>
      <c r="K254" s="17"/>
      <c r="L254" s="17"/>
    </row>
    <row r="255" spans="2:12" s="18" customFormat="1" x14ac:dyDescent="0.25">
      <c r="B255" s="75"/>
      <c r="C255" s="46"/>
      <c r="D255" s="47"/>
      <c r="E255" s="102"/>
      <c r="F255" s="102"/>
      <c r="G255" s="103"/>
      <c r="H255" s="103"/>
      <c r="I255" s="103"/>
      <c r="J255" s="17"/>
      <c r="K255" s="17"/>
      <c r="L255" s="17"/>
    </row>
    <row r="256" spans="2:12" s="18" customFormat="1" x14ac:dyDescent="0.25">
      <c r="B256" s="75"/>
      <c r="C256" s="46"/>
      <c r="D256" s="47"/>
      <c r="E256" s="102"/>
      <c r="F256" s="102"/>
      <c r="G256" s="103"/>
      <c r="H256" s="103"/>
      <c r="I256" s="103"/>
      <c r="J256" s="17"/>
      <c r="K256" s="17"/>
      <c r="L256" s="17"/>
    </row>
    <row r="257" spans="2:12" s="18" customFormat="1" x14ac:dyDescent="0.25">
      <c r="B257" s="75"/>
      <c r="C257" s="46"/>
      <c r="D257" s="47"/>
      <c r="E257" s="102"/>
      <c r="F257" s="102"/>
      <c r="G257" s="103"/>
      <c r="H257" s="103"/>
      <c r="I257" s="103"/>
      <c r="J257" s="17"/>
      <c r="K257" s="17"/>
      <c r="L257" s="17"/>
    </row>
    <row r="258" spans="2:12" s="18" customFormat="1" x14ac:dyDescent="0.25">
      <c r="B258" s="75"/>
      <c r="C258" s="46"/>
      <c r="D258" s="47"/>
      <c r="E258" s="102"/>
      <c r="F258" s="102"/>
      <c r="G258" s="103"/>
      <c r="H258" s="103"/>
      <c r="I258" s="103"/>
      <c r="J258" s="17"/>
      <c r="K258" s="17"/>
      <c r="L258" s="17"/>
    </row>
    <row r="259" spans="2:12" s="18" customFormat="1" x14ac:dyDescent="0.25">
      <c r="B259" s="75"/>
      <c r="C259" s="46"/>
      <c r="D259" s="47"/>
      <c r="E259" s="102"/>
      <c r="F259" s="102"/>
      <c r="G259" s="103"/>
      <c r="H259" s="103"/>
      <c r="I259" s="103"/>
      <c r="J259" s="17"/>
      <c r="K259" s="17"/>
      <c r="L259" s="17"/>
    </row>
    <row r="260" spans="2:12" s="18" customFormat="1" x14ac:dyDescent="0.25">
      <c r="B260" s="75"/>
      <c r="C260" s="46"/>
      <c r="D260" s="47"/>
      <c r="E260" s="102"/>
      <c r="F260" s="102"/>
      <c r="G260" s="103"/>
      <c r="H260" s="103"/>
      <c r="I260" s="103"/>
      <c r="J260" s="17"/>
      <c r="K260" s="17"/>
      <c r="L260" s="17"/>
    </row>
    <row r="261" spans="2:12" s="18" customFormat="1" x14ac:dyDescent="0.25">
      <c r="B261" s="75"/>
      <c r="C261" s="46"/>
      <c r="D261" s="47"/>
      <c r="E261" s="102"/>
      <c r="F261" s="102"/>
      <c r="G261" s="103"/>
      <c r="H261" s="103"/>
      <c r="I261" s="103"/>
      <c r="J261" s="17"/>
      <c r="K261" s="17"/>
      <c r="L261" s="17"/>
    </row>
    <row r="262" spans="2:12" s="18" customFormat="1" x14ac:dyDescent="0.25">
      <c r="B262" s="75"/>
      <c r="C262" s="46"/>
      <c r="D262" s="47"/>
      <c r="E262" s="102"/>
      <c r="F262" s="102"/>
      <c r="G262" s="103"/>
      <c r="H262" s="103"/>
      <c r="I262" s="103"/>
      <c r="J262" s="17"/>
      <c r="K262" s="17"/>
      <c r="L262" s="17"/>
    </row>
    <row r="263" spans="2:12" s="18" customFormat="1" x14ac:dyDescent="0.25">
      <c r="B263" s="75"/>
      <c r="C263" s="46"/>
      <c r="D263" s="47"/>
      <c r="E263" s="102"/>
      <c r="F263" s="102"/>
      <c r="G263" s="103"/>
      <c r="H263" s="103"/>
      <c r="I263" s="103"/>
      <c r="J263" s="17"/>
      <c r="K263" s="17"/>
      <c r="L263" s="17"/>
    </row>
    <row r="264" spans="2:12" s="18" customFormat="1" x14ac:dyDescent="0.25">
      <c r="B264" s="75"/>
      <c r="C264" s="46"/>
      <c r="D264" s="47"/>
      <c r="E264" s="102"/>
      <c r="F264" s="102"/>
      <c r="G264" s="103"/>
      <c r="H264" s="103"/>
      <c r="I264" s="103"/>
      <c r="J264" s="17"/>
      <c r="K264" s="17"/>
      <c r="L264" s="17"/>
    </row>
    <row r="265" spans="2:12" s="18" customFormat="1" x14ac:dyDescent="0.25">
      <c r="B265" s="75"/>
      <c r="C265" s="46"/>
      <c r="D265" s="47"/>
      <c r="E265" s="102"/>
      <c r="F265" s="102"/>
      <c r="G265" s="103"/>
      <c r="H265" s="103"/>
      <c r="I265" s="103"/>
      <c r="J265" s="17"/>
      <c r="K265" s="17"/>
      <c r="L265" s="17"/>
    </row>
    <row r="266" spans="2:12" s="18" customFormat="1" x14ac:dyDescent="0.25">
      <c r="B266" s="75"/>
      <c r="C266" s="46"/>
      <c r="D266" s="47"/>
      <c r="E266" s="102"/>
      <c r="F266" s="102"/>
      <c r="G266" s="103"/>
      <c r="H266" s="103"/>
      <c r="I266" s="103"/>
      <c r="J266" s="17"/>
      <c r="K266" s="17"/>
      <c r="L266" s="17"/>
    </row>
    <row r="267" spans="2:12" s="18" customFormat="1" x14ac:dyDescent="0.25">
      <c r="B267" s="75"/>
      <c r="C267" s="46"/>
      <c r="D267" s="47"/>
      <c r="E267" s="102"/>
      <c r="F267" s="102"/>
      <c r="G267" s="103"/>
      <c r="H267" s="103"/>
      <c r="I267" s="103"/>
      <c r="J267" s="17"/>
      <c r="K267" s="17"/>
      <c r="L267" s="17"/>
    </row>
    <row r="268" spans="2:12" s="18" customFormat="1" x14ac:dyDescent="0.25">
      <c r="B268" s="75"/>
      <c r="C268" s="46"/>
      <c r="D268" s="47"/>
      <c r="E268" s="102"/>
      <c r="F268" s="102"/>
      <c r="G268" s="103"/>
      <c r="H268" s="103"/>
      <c r="I268" s="103"/>
      <c r="J268" s="17"/>
      <c r="K268" s="17"/>
      <c r="L268" s="17"/>
    </row>
    <row r="269" spans="2:12" s="18" customFormat="1" x14ac:dyDescent="0.25">
      <c r="B269" s="75"/>
      <c r="C269" s="46"/>
      <c r="D269" s="47"/>
      <c r="E269" s="102"/>
      <c r="F269" s="102"/>
      <c r="G269" s="103"/>
      <c r="H269" s="103"/>
      <c r="I269" s="103"/>
      <c r="J269" s="17"/>
      <c r="K269" s="17"/>
      <c r="L269" s="17"/>
    </row>
    <row r="270" spans="2:12" s="18" customFormat="1" x14ac:dyDescent="0.25">
      <c r="B270" s="75"/>
      <c r="C270" s="46"/>
      <c r="D270" s="47"/>
      <c r="E270" s="102"/>
      <c r="F270" s="102"/>
      <c r="G270" s="103"/>
      <c r="H270" s="103"/>
      <c r="I270" s="103"/>
      <c r="J270" s="17"/>
      <c r="K270" s="17"/>
      <c r="L270" s="17"/>
    </row>
    <row r="271" spans="2:12" s="18" customFormat="1" x14ac:dyDescent="0.25">
      <c r="B271" s="75"/>
      <c r="C271" s="46"/>
      <c r="D271" s="47"/>
      <c r="E271" s="102"/>
      <c r="F271" s="102"/>
      <c r="G271" s="103"/>
      <c r="H271" s="103"/>
      <c r="I271" s="103"/>
      <c r="J271" s="17"/>
      <c r="K271" s="17"/>
      <c r="L271" s="17"/>
    </row>
    <row r="272" spans="2:12" s="18" customFormat="1" x14ac:dyDescent="0.25">
      <c r="B272" s="75"/>
      <c r="C272" s="46"/>
      <c r="D272" s="47"/>
      <c r="E272" s="102"/>
      <c r="F272" s="102"/>
      <c r="G272" s="103"/>
      <c r="H272" s="103"/>
      <c r="I272" s="103"/>
      <c r="J272" s="17"/>
      <c r="K272" s="17"/>
      <c r="L272" s="17"/>
    </row>
    <row r="273" spans="2:12" s="18" customFormat="1" x14ac:dyDescent="0.25">
      <c r="B273" s="75"/>
      <c r="C273" s="46"/>
      <c r="D273" s="47"/>
      <c r="E273" s="102"/>
      <c r="F273" s="102"/>
      <c r="G273" s="103"/>
      <c r="H273" s="103"/>
      <c r="I273" s="103"/>
      <c r="J273" s="17"/>
      <c r="K273" s="17"/>
      <c r="L273" s="17"/>
    </row>
    <row r="274" spans="2:12" s="18" customFormat="1" x14ac:dyDescent="0.25">
      <c r="B274" s="75"/>
      <c r="C274" s="46"/>
      <c r="D274" s="47"/>
      <c r="E274" s="102"/>
      <c r="F274" s="102"/>
      <c r="G274" s="103"/>
      <c r="H274" s="103"/>
      <c r="I274" s="103"/>
      <c r="J274" s="17"/>
      <c r="K274" s="17"/>
      <c r="L274" s="17"/>
    </row>
    <row r="275" spans="2:12" s="18" customFormat="1" x14ac:dyDescent="0.25">
      <c r="B275" s="75"/>
      <c r="C275" s="46"/>
      <c r="D275" s="47"/>
      <c r="E275" s="102"/>
      <c r="F275" s="102"/>
      <c r="G275" s="103"/>
      <c r="H275" s="103"/>
      <c r="I275" s="103"/>
      <c r="J275" s="17"/>
      <c r="K275" s="17"/>
      <c r="L275" s="17"/>
    </row>
    <row r="276" spans="2:12" s="18" customFormat="1" x14ac:dyDescent="0.25">
      <c r="B276" s="75"/>
      <c r="C276" s="46"/>
      <c r="D276" s="47"/>
      <c r="E276" s="102"/>
      <c r="F276" s="102"/>
      <c r="G276" s="103"/>
      <c r="H276" s="103"/>
      <c r="I276" s="103"/>
      <c r="J276" s="17"/>
      <c r="K276" s="17"/>
      <c r="L276" s="17"/>
    </row>
    <row r="277" spans="2:12" s="18" customFormat="1" x14ac:dyDescent="0.25">
      <c r="B277" s="75"/>
      <c r="C277" s="46"/>
      <c r="D277" s="47"/>
      <c r="E277" s="102"/>
      <c r="F277" s="102"/>
      <c r="G277" s="103"/>
      <c r="H277" s="103"/>
      <c r="I277" s="103"/>
      <c r="J277" s="17"/>
      <c r="K277" s="17"/>
      <c r="L277" s="17"/>
    </row>
    <row r="278" spans="2:12" s="18" customFormat="1" x14ac:dyDescent="0.25">
      <c r="B278" s="75"/>
    </row>
    <row r="279" spans="2:12" s="18" customFormat="1" x14ac:dyDescent="0.25">
      <c r="B279" s="75"/>
    </row>
    <row r="280" spans="2:12" s="18" customFormat="1" x14ac:dyDescent="0.25">
      <c r="B280" s="75"/>
    </row>
    <row r="281" spans="2:12" s="18" customFormat="1" x14ac:dyDescent="0.25">
      <c r="B281" s="75"/>
    </row>
    <row r="282" spans="2:12" s="18" customFormat="1" x14ac:dyDescent="0.25">
      <c r="B282" s="75"/>
    </row>
    <row r="283" spans="2:12" s="18" customFormat="1" x14ac:dyDescent="0.25">
      <c r="B283" s="75"/>
    </row>
    <row r="284" spans="2:12" s="18" customFormat="1" x14ac:dyDescent="0.25">
      <c r="B284" s="75"/>
    </row>
    <row r="285" spans="2:12" s="18" customFormat="1" x14ac:dyDescent="0.25">
      <c r="B285" s="75"/>
    </row>
    <row r="286" spans="2:12" s="18" customFormat="1" x14ac:dyDescent="0.25">
      <c r="B286" s="75"/>
    </row>
    <row r="287" spans="2:12" s="18" customFormat="1" x14ac:dyDescent="0.25">
      <c r="B287" s="75"/>
    </row>
    <row r="288" spans="2:12" s="18" customFormat="1" x14ac:dyDescent="0.25">
      <c r="B288" s="75"/>
    </row>
    <row r="289" spans="2:2" s="18" customFormat="1" x14ac:dyDescent="0.25">
      <c r="B289" s="75"/>
    </row>
    <row r="290" spans="2:2" s="18" customFormat="1" x14ac:dyDescent="0.25">
      <c r="B290" s="75"/>
    </row>
    <row r="291" spans="2:2" s="18" customFormat="1" x14ac:dyDescent="0.25">
      <c r="B291" s="75"/>
    </row>
    <row r="292" spans="2:2" s="18" customFormat="1" x14ac:dyDescent="0.25">
      <c r="B292" s="75"/>
    </row>
    <row r="293" spans="2:2" s="18" customFormat="1" x14ac:dyDescent="0.25">
      <c r="B293" s="75"/>
    </row>
    <row r="294" spans="2:2" s="18" customFormat="1" x14ac:dyDescent="0.25">
      <c r="B294" s="75"/>
    </row>
    <row r="295" spans="2:2" s="18" customFormat="1" x14ac:dyDescent="0.25">
      <c r="B295" s="75"/>
    </row>
    <row r="296" spans="2:2" s="18" customFormat="1" x14ac:dyDescent="0.25">
      <c r="B296" s="75"/>
    </row>
    <row r="297" spans="2:2" s="18" customFormat="1" x14ac:dyDescent="0.25">
      <c r="B297" s="75"/>
    </row>
    <row r="298" spans="2:2" s="18" customFormat="1" x14ac:dyDescent="0.25">
      <c r="B298" s="75"/>
    </row>
    <row r="299" spans="2:2" s="18" customFormat="1" x14ac:dyDescent="0.25">
      <c r="B299" s="75"/>
    </row>
    <row r="300" spans="2:2" s="18" customFormat="1" x14ac:dyDescent="0.25">
      <c r="B300" s="75"/>
    </row>
    <row r="301" spans="2:2" s="18" customFormat="1" x14ac:dyDescent="0.25">
      <c r="B301" s="75"/>
    </row>
    <row r="302" spans="2:2" s="18" customFormat="1" x14ac:dyDescent="0.25">
      <c r="B302" s="75"/>
    </row>
    <row r="303" spans="2:2" s="18" customFormat="1" x14ac:dyDescent="0.25">
      <c r="B303" s="75"/>
    </row>
    <row r="304" spans="2:2" s="18" customFormat="1" x14ac:dyDescent="0.25">
      <c r="B304" s="75"/>
    </row>
  </sheetData>
  <sheetProtection algorithmName="SHA-512" hashValue="cgxcTDatsWcFxG03AqvqlatRMlpNPXo1DN8qF+K5VRp2ym1zTh+Afqvgh6ZW9hPLc3iAlpKG6TPnQen1Z6nySA==" saltValue="tJtTDYzeKETup9WtzdcNKw==" spinCount="100000" sheet="1" objects="1" scenarios="1"/>
  <dataConsolidate link="1"/>
  <mergeCells count="485">
    <mergeCell ref="C73:D73"/>
    <mergeCell ref="C63:D63"/>
    <mergeCell ref="E63:F63"/>
    <mergeCell ref="G63:I63"/>
    <mergeCell ref="C64:D64"/>
    <mergeCell ref="E64:F64"/>
    <mergeCell ref="G64:I64"/>
    <mergeCell ref="G60:I60"/>
    <mergeCell ref="G61:I61"/>
    <mergeCell ref="G62:I62"/>
    <mergeCell ref="C80:D80"/>
    <mergeCell ref="C81:D81"/>
    <mergeCell ref="E67:F67"/>
    <mergeCell ref="C67:D67"/>
    <mergeCell ref="C68:D68"/>
    <mergeCell ref="C69:D69"/>
    <mergeCell ref="G59:I59"/>
    <mergeCell ref="E59:F59"/>
    <mergeCell ref="C59:D59"/>
    <mergeCell ref="G67:I67"/>
    <mergeCell ref="G75:I75"/>
    <mergeCell ref="C76:D76"/>
    <mergeCell ref="G76:I76"/>
    <mergeCell ref="C77:D77"/>
    <mergeCell ref="G77:I77"/>
    <mergeCell ref="G65:I65"/>
    <mergeCell ref="G66:I66"/>
    <mergeCell ref="E60:F60"/>
    <mergeCell ref="E61:F61"/>
    <mergeCell ref="E62:F62"/>
    <mergeCell ref="E65:F65"/>
    <mergeCell ref="E66:F66"/>
    <mergeCell ref="C71:D71"/>
    <mergeCell ref="C72:D72"/>
    <mergeCell ref="C83:D83"/>
    <mergeCell ref="C85:D85"/>
    <mergeCell ref="G68:I68"/>
    <mergeCell ref="G69:I69"/>
    <mergeCell ref="G70:I70"/>
    <mergeCell ref="G71:I71"/>
    <mergeCell ref="G72:I72"/>
    <mergeCell ref="G73:I73"/>
    <mergeCell ref="G78:I78"/>
    <mergeCell ref="G79:I79"/>
    <mergeCell ref="G80:I80"/>
    <mergeCell ref="G81:I81"/>
    <mergeCell ref="G82:I82"/>
    <mergeCell ref="G83:I83"/>
    <mergeCell ref="G84:I84"/>
    <mergeCell ref="G85:I85"/>
    <mergeCell ref="C70:D70"/>
    <mergeCell ref="C74:D74"/>
    <mergeCell ref="G74:I74"/>
    <mergeCell ref="C75:D75"/>
    <mergeCell ref="C84:D84"/>
    <mergeCell ref="C82:D82"/>
    <mergeCell ref="C79:D79"/>
    <mergeCell ref="C78:D78"/>
    <mergeCell ref="C50:D50"/>
    <mergeCell ref="E50:I50"/>
    <mergeCell ref="E51:I51"/>
    <mergeCell ref="E52:I52"/>
    <mergeCell ref="E53:I53"/>
    <mergeCell ref="E54:I54"/>
    <mergeCell ref="E55:I55"/>
    <mergeCell ref="E56:I56"/>
    <mergeCell ref="E57:I57"/>
    <mergeCell ref="C51:D51"/>
    <mergeCell ref="C52:D52"/>
    <mergeCell ref="C53:D53"/>
    <mergeCell ref="C54:D54"/>
    <mergeCell ref="C55:D55"/>
    <mergeCell ref="C56:D56"/>
    <mergeCell ref="C57:D57"/>
    <mergeCell ref="E277:F277"/>
    <mergeCell ref="G92:I92"/>
    <mergeCell ref="G93:I93"/>
    <mergeCell ref="G94:I94"/>
    <mergeCell ref="G95:I95"/>
    <mergeCell ref="G96:I96"/>
    <mergeCell ref="G97:I97"/>
    <mergeCell ref="G273:I273"/>
    <mergeCell ref="G274:I274"/>
    <mergeCell ref="G275:I275"/>
    <mergeCell ref="G276:I276"/>
    <mergeCell ref="G277:I277"/>
    <mergeCell ref="E275:F275"/>
    <mergeCell ref="E276:F276"/>
    <mergeCell ref="E274:F274"/>
    <mergeCell ref="E95:F95"/>
    <mergeCell ref="E96:F96"/>
    <mergeCell ref="E97:F97"/>
    <mergeCell ref="E101:F101"/>
    <mergeCell ref="G101:I101"/>
    <mergeCell ref="E102:F102"/>
    <mergeCell ref="G102:I102"/>
    <mergeCell ref="E103:F103"/>
    <mergeCell ref="G103:I103"/>
    <mergeCell ref="E1:I1"/>
    <mergeCell ref="E2:I2"/>
    <mergeCell ref="E273:F273"/>
    <mergeCell ref="D19:H19"/>
    <mergeCell ref="C21:I21"/>
    <mergeCell ref="C4:I4"/>
    <mergeCell ref="C5:I5"/>
    <mergeCell ref="C58:I58"/>
    <mergeCell ref="C6:I6"/>
    <mergeCell ref="D16:I16"/>
    <mergeCell ref="C49:I49"/>
    <mergeCell ref="D17:I17"/>
    <mergeCell ref="D18:I18"/>
    <mergeCell ref="D13:I13"/>
    <mergeCell ref="D14:I14"/>
    <mergeCell ref="E100:F100"/>
    <mergeCell ref="G100:I100"/>
    <mergeCell ref="E98:F98"/>
    <mergeCell ref="G98:I98"/>
    <mergeCell ref="E99:F99"/>
    <mergeCell ref="G99:I99"/>
    <mergeCell ref="E92:F92"/>
    <mergeCell ref="E93:F93"/>
    <mergeCell ref="E94:F94"/>
    <mergeCell ref="E104:F104"/>
    <mergeCell ref="G104:I104"/>
    <mergeCell ref="E105:F105"/>
    <mergeCell ref="G105:I105"/>
    <mergeCell ref="E109:F109"/>
    <mergeCell ref="G109:I109"/>
    <mergeCell ref="E110:F110"/>
    <mergeCell ref="G110:I110"/>
    <mergeCell ref="E111:F111"/>
    <mergeCell ref="G111:I111"/>
    <mergeCell ref="G106:I106"/>
    <mergeCell ref="E107:F107"/>
    <mergeCell ref="G107:I107"/>
    <mergeCell ref="E108:F108"/>
    <mergeCell ref="G108:I108"/>
    <mergeCell ref="E106:F106"/>
    <mergeCell ref="E115:F115"/>
    <mergeCell ref="G115:I115"/>
    <mergeCell ref="E116:F116"/>
    <mergeCell ref="G116:I116"/>
    <mergeCell ref="E117:F117"/>
    <mergeCell ref="G117:I117"/>
    <mergeCell ref="G112:I112"/>
    <mergeCell ref="E113:F113"/>
    <mergeCell ref="G113:I113"/>
    <mergeCell ref="E114:F114"/>
    <mergeCell ref="G114:I114"/>
    <mergeCell ref="E112:F112"/>
    <mergeCell ref="E121:F121"/>
    <mergeCell ref="G121:I121"/>
    <mergeCell ref="E122:F122"/>
    <mergeCell ref="G122:I122"/>
    <mergeCell ref="E123:F123"/>
    <mergeCell ref="G123:I123"/>
    <mergeCell ref="G118:I118"/>
    <mergeCell ref="E119:F119"/>
    <mergeCell ref="G119:I119"/>
    <mergeCell ref="E120:F120"/>
    <mergeCell ref="G120:I120"/>
    <mergeCell ref="E118:F118"/>
    <mergeCell ref="E127:F127"/>
    <mergeCell ref="G127:I127"/>
    <mergeCell ref="E128:F128"/>
    <mergeCell ref="G128:I128"/>
    <mergeCell ref="E129:F129"/>
    <mergeCell ref="G129:I129"/>
    <mergeCell ref="E124:F124"/>
    <mergeCell ref="G124:I124"/>
    <mergeCell ref="E125:F125"/>
    <mergeCell ref="G125:I125"/>
    <mergeCell ref="E126:F126"/>
    <mergeCell ref="G126:I126"/>
    <mergeCell ref="E133:F133"/>
    <mergeCell ref="G133:I133"/>
    <mergeCell ref="E134:F134"/>
    <mergeCell ref="G134:I134"/>
    <mergeCell ref="E135:F135"/>
    <mergeCell ref="G135:I135"/>
    <mergeCell ref="E130:F130"/>
    <mergeCell ref="G130:I130"/>
    <mergeCell ref="E131:F131"/>
    <mergeCell ref="G131:I131"/>
    <mergeCell ref="E132:F132"/>
    <mergeCell ref="G132:I132"/>
    <mergeCell ref="E139:F139"/>
    <mergeCell ref="G139:I139"/>
    <mergeCell ref="E140:F140"/>
    <mergeCell ref="G140:I140"/>
    <mergeCell ref="E141:F141"/>
    <mergeCell ref="G141:I141"/>
    <mergeCell ref="E136:F136"/>
    <mergeCell ref="G136:I136"/>
    <mergeCell ref="E137:F137"/>
    <mergeCell ref="G137:I137"/>
    <mergeCell ref="E138:F138"/>
    <mergeCell ref="G138:I138"/>
    <mergeCell ref="E145:F145"/>
    <mergeCell ref="G145:I145"/>
    <mergeCell ref="E146:F146"/>
    <mergeCell ref="G146:I146"/>
    <mergeCell ref="E147:F147"/>
    <mergeCell ref="G147:I147"/>
    <mergeCell ref="E142:F142"/>
    <mergeCell ref="G142:I142"/>
    <mergeCell ref="E143:F143"/>
    <mergeCell ref="G143:I143"/>
    <mergeCell ref="E144:F144"/>
    <mergeCell ref="G144:I144"/>
    <mergeCell ref="E151:F151"/>
    <mergeCell ref="G151:I151"/>
    <mergeCell ref="E152:F152"/>
    <mergeCell ref="G152:I152"/>
    <mergeCell ref="E153:F153"/>
    <mergeCell ref="G153:I153"/>
    <mergeCell ref="E148:F148"/>
    <mergeCell ref="G148:I148"/>
    <mergeCell ref="E149:F149"/>
    <mergeCell ref="G149:I149"/>
    <mergeCell ref="E150:F150"/>
    <mergeCell ref="G150:I150"/>
    <mergeCell ref="E157:F157"/>
    <mergeCell ref="G157:I157"/>
    <mergeCell ref="E158:F158"/>
    <mergeCell ref="G158:I158"/>
    <mergeCell ref="E159:F159"/>
    <mergeCell ref="G159:I159"/>
    <mergeCell ref="E154:F154"/>
    <mergeCell ref="G154:I154"/>
    <mergeCell ref="E155:F155"/>
    <mergeCell ref="G155:I155"/>
    <mergeCell ref="E156:F156"/>
    <mergeCell ref="G156:I156"/>
    <mergeCell ref="E163:F163"/>
    <mergeCell ref="G163:I163"/>
    <mergeCell ref="E164:F164"/>
    <mergeCell ref="G164:I164"/>
    <mergeCell ref="E165:F165"/>
    <mergeCell ref="G165:I165"/>
    <mergeCell ref="E160:F160"/>
    <mergeCell ref="G160:I160"/>
    <mergeCell ref="E161:F161"/>
    <mergeCell ref="G161:I161"/>
    <mergeCell ref="E162:F162"/>
    <mergeCell ref="G162:I162"/>
    <mergeCell ref="E169:F169"/>
    <mergeCell ref="G169:I169"/>
    <mergeCell ref="E170:F170"/>
    <mergeCell ref="G170:I170"/>
    <mergeCell ref="E171:F171"/>
    <mergeCell ref="G171:I171"/>
    <mergeCell ref="E166:F166"/>
    <mergeCell ref="G166:I166"/>
    <mergeCell ref="E167:F167"/>
    <mergeCell ref="G167:I167"/>
    <mergeCell ref="E168:F168"/>
    <mergeCell ref="G168:I168"/>
    <mergeCell ref="E175:F175"/>
    <mergeCell ref="G175:I175"/>
    <mergeCell ref="E176:F176"/>
    <mergeCell ref="G176:I176"/>
    <mergeCell ref="E177:F177"/>
    <mergeCell ref="G177:I177"/>
    <mergeCell ref="E172:F172"/>
    <mergeCell ref="G172:I172"/>
    <mergeCell ref="E173:F173"/>
    <mergeCell ref="G173:I173"/>
    <mergeCell ref="E174:F174"/>
    <mergeCell ref="G174:I174"/>
    <mergeCell ref="E181:F181"/>
    <mergeCell ref="G181:I181"/>
    <mergeCell ref="E182:F182"/>
    <mergeCell ref="G182:I182"/>
    <mergeCell ref="E183:F183"/>
    <mergeCell ref="G183:I183"/>
    <mergeCell ref="E178:F178"/>
    <mergeCell ref="G178:I178"/>
    <mergeCell ref="E179:F179"/>
    <mergeCell ref="G179:I179"/>
    <mergeCell ref="E180:F180"/>
    <mergeCell ref="G180:I180"/>
    <mergeCell ref="E187:F187"/>
    <mergeCell ref="G187:I187"/>
    <mergeCell ref="E188:F188"/>
    <mergeCell ref="G188:I188"/>
    <mergeCell ref="E189:F189"/>
    <mergeCell ref="G189:I189"/>
    <mergeCell ref="E184:F184"/>
    <mergeCell ref="G184:I184"/>
    <mergeCell ref="E185:F185"/>
    <mergeCell ref="G185:I185"/>
    <mergeCell ref="E186:F186"/>
    <mergeCell ref="G186:I186"/>
    <mergeCell ref="E193:F193"/>
    <mergeCell ref="G193:I193"/>
    <mergeCell ref="E194:F194"/>
    <mergeCell ref="G194:I194"/>
    <mergeCell ref="E195:F195"/>
    <mergeCell ref="G195:I195"/>
    <mergeCell ref="E190:F190"/>
    <mergeCell ref="G190:I190"/>
    <mergeCell ref="E191:F191"/>
    <mergeCell ref="G191:I191"/>
    <mergeCell ref="E192:F192"/>
    <mergeCell ref="G192:I192"/>
    <mergeCell ref="E199:F199"/>
    <mergeCell ref="G199:I199"/>
    <mergeCell ref="E200:F200"/>
    <mergeCell ref="G200:I200"/>
    <mergeCell ref="E201:F201"/>
    <mergeCell ref="G201:I201"/>
    <mergeCell ref="E196:F196"/>
    <mergeCell ref="G196:I196"/>
    <mergeCell ref="E197:F197"/>
    <mergeCell ref="G197:I197"/>
    <mergeCell ref="E198:F198"/>
    <mergeCell ref="G198:I198"/>
    <mergeCell ref="E205:F205"/>
    <mergeCell ref="G205:I205"/>
    <mergeCell ref="E206:F206"/>
    <mergeCell ref="G206:I206"/>
    <mergeCell ref="E207:F207"/>
    <mergeCell ref="G207:I207"/>
    <mergeCell ref="E202:F202"/>
    <mergeCell ref="G202:I202"/>
    <mergeCell ref="E203:F203"/>
    <mergeCell ref="G203:I203"/>
    <mergeCell ref="E204:F204"/>
    <mergeCell ref="G204:I204"/>
    <mergeCell ref="E211:F211"/>
    <mergeCell ref="G211:I211"/>
    <mergeCell ref="E212:F212"/>
    <mergeCell ref="G212:I212"/>
    <mergeCell ref="E213:F213"/>
    <mergeCell ref="G213:I213"/>
    <mergeCell ref="E208:F208"/>
    <mergeCell ref="G208:I208"/>
    <mergeCell ref="E209:F209"/>
    <mergeCell ref="G209:I209"/>
    <mergeCell ref="E210:F210"/>
    <mergeCell ref="G210:I210"/>
    <mergeCell ref="E217:F217"/>
    <mergeCell ref="G217:I217"/>
    <mergeCell ref="E218:F218"/>
    <mergeCell ref="G218:I218"/>
    <mergeCell ref="E219:F219"/>
    <mergeCell ref="G219:I219"/>
    <mergeCell ref="E214:F214"/>
    <mergeCell ref="G214:I214"/>
    <mergeCell ref="E215:F215"/>
    <mergeCell ref="G215:I215"/>
    <mergeCell ref="E216:F216"/>
    <mergeCell ref="G216:I216"/>
    <mergeCell ref="E223:F223"/>
    <mergeCell ref="G223:I223"/>
    <mergeCell ref="E224:F224"/>
    <mergeCell ref="G224:I224"/>
    <mergeCell ref="E225:F225"/>
    <mergeCell ref="G225:I225"/>
    <mergeCell ref="E220:F220"/>
    <mergeCell ref="G220:I220"/>
    <mergeCell ref="E221:F221"/>
    <mergeCell ref="G221:I221"/>
    <mergeCell ref="E222:F222"/>
    <mergeCell ref="G222:I222"/>
    <mergeCell ref="E229:F229"/>
    <mergeCell ref="G229:I229"/>
    <mergeCell ref="E230:F230"/>
    <mergeCell ref="G230:I230"/>
    <mergeCell ref="E231:F231"/>
    <mergeCell ref="G231:I231"/>
    <mergeCell ref="E226:F226"/>
    <mergeCell ref="G226:I226"/>
    <mergeCell ref="E227:F227"/>
    <mergeCell ref="G227:I227"/>
    <mergeCell ref="E228:F228"/>
    <mergeCell ref="G228:I228"/>
    <mergeCell ref="E235:F235"/>
    <mergeCell ref="G235:I235"/>
    <mergeCell ref="E236:F236"/>
    <mergeCell ref="G236:I236"/>
    <mergeCell ref="E237:F237"/>
    <mergeCell ref="G237:I237"/>
    <mergeCell ref="E232:F232"/>
    <mergeCell ref="G232:I232"/>
    <mergeCell ref="E233:F233"/>
    <mergeCell ref="G233:I233"/>
    <mergeCell ref="E234:F234"/>
    <mergeCell ref="G234:I234"/>
    <mergeCell ref="E241:F241"/>
    <mergeCell ref="G241:I241"/>
    <mergeCell ref="E242:F242"/>
    <mergeCell ref="G242:I242"/>
    <mergeCell ref="E243:F243"/>
    <mergeCell ref="G243:I243"/>
    <mergeCell ref="E238:F238"/>
    <mergeCell ref="G238:I238"/>
    <mergeCell ref="E239:F239"/>
    <mergeCell ref="G239:I239"/>
    <mergeCell ref="E240:F240"/>
    <mergeCell ref="G240:I240"/>
    <mergeCell ref="G267:I267"/>
    <mergeCell ref="E248:F248"/>
    <mergeCell ref="G248:I248"/>
    <mergeCell ref="E249:F249"/>
    <mergeCell ref="G249:I249"/>
    <mergeCell ref="E244:F244"/>
    <mergeCell ref="G244:I244"/>
    <mergeCell ref="E245:F245"/>
    <mergeCell ref="G245:I245"/>
    <mergeCell ref="E246:F246"/>
    <mergeCell ref="G246:I246"/>
    <mergeCell ref="G251:I251"/>
    <mergeCell ref="E252:F252"/>
    <mergeCell ref="G252:I252"/>
    <mergeCell ref="E247:F247"/>
    <mergeCell ref="G247:I247"/>
    <mergeCell ref="E263:F263"/>
    <mergeCell ref="G263:I263"/>
    <mergeCell ref="E264:F264"/>
    <mergeCell ref="G264:I264"/>
    <mergeCell ref="E259:F259"/>
    <mergeCell ref="G259:I259"/>
    <mergeCell ref="E260:F260"/>
    <mergeCell ref="E253:F253"/>
    <mergeCell ref="G253:I253"/>
    <mergeCell ref="E254:F254"/>
    <mergeCell ref="G254:I254"/>
    <mergeCell ref="E255:F255"/>
    <mergeCell ref="G255:I255"/>
    <mergeCell ref="E262:F262"/>
    <mergeCell ref="E3:I3"/>
    <mergeCell ref="F7:I7"/>
    <mergeCell ref="D8:I8"/>
    <mergeCell ref="D9:I9"/>
    <mergeCell ref="D10:I10"/>
    <mergeCell ref="D11:I11"/>
    <mergeCell ref="D12:I12"/>
    <mergeCell ref="D7:E7"/>
    <mergeCell ref="D15:I15"/>
    <mergeCell ref="G262:I262"/>
    <mergeCell ref="E250:F250"/>
    <mergeCell ref="G250:I250"/>
    <mergeCell ref="E251:F251"/>
    <mergeCell ref="C60:D60"/>
    <mergeCell ref="C61:D61"/>
    <mergeCell ref="C62:D62"/>
    <mergeCell ref="C65:D65"/>
    <mergeCell ref="C66:D66"/>
    <mergeCell ref="E271:F271"/>
    <mergeCell ref="G271:I271"/>
    <mergeCell ref="E272:F272"/>
    <mergeCell ref="G272:I272"/>
    <mergeCell ref="G260:I260"/>
    <mergeCell ref="E261:F261"/>
    <mergeCell ref="G261:I261"/>
    <mergeCell ref="E256:F256"/>
    <mergeCell ref="G256:I256"/>
    <mergeCell ref="E257:F257"/>
    <mergeCell ref="G257:I257"/>
    <mergeCell ref="E258:F258"/>
    <mergeCell ref="G258:I258"/>
    <mergeCell ref="E268:F268"/>
    <mergeCell ref="G268:I268"/>
    <mergeCell ref="E269:F269"/>
    <mergeCell ref="G269:I269"/>
    <mergeCell ref="E270:F270"/>
    <mergeCell ref="G270:I270"/>
    <mergeCell ref="E265:F265"/>
    <mergeCell ref="G265:I265"/>
    <mergeCell ref="E266:F266"/>
    <mergeCell ref="G266:I266"/>
    <mergeCell ref="E267:F267"/>
    <mergeCell ref="C86:I86"/>
    <mergeCell ref="E87:F87"/>
    <mergeCell ref="G87:I87"/>
    <mergeCell ref="E90:F90"/>
    <mergeCell ref="G90:I90"/>
    <mergeCell ref="E91:F91"/>
    <mergeCell ref="G91:I91"/>
    <mergeCell ref="E88:F88"/>
    <mergeCell ref="H88:I88"/>
    <mergeCell ref="E89:F89"/>
    <mergeCell ref="G89:I89"/>
  </mergeCells>
  <dataValidations count="2">
    <dataValidation type="list" allowBlank="1" showInputMessage="1" showErrorMessage="1" sqref="E50:I57 E65:F66 E22:E48">
      <formula1>Булево</formula1>
    </dataValidation>
    <dataValidation showDropDown="1" showInputMessage="1" showErrorMessage="1" sqref="F83"/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showInputMessage="1" showErrorMessage="1">
          <x14:formula1>
            <xm:f>Лист1!$G$1:$G$3</xm:f>
          </x14:formula1>
          <xm:sqref>E64:F64</xm:sqref>
        </x14:dataValidation>
        <x14:dataValidation type="list" allowBlank="1" showInputMessage="1" showErrorMessage="1">
          <x14:formula1>
            <xm:f>Лист1!$B$2:$B$56</xm:f>
          </x14:formula1>
          <xm:sqref>D9:I10</xm:sqref>
        </x14:dataValidation>
        <x14:dataValidation type="list" allowBlank="1" showInputMessage="1" showErrorMessage="1">
          <x14:formula1>
            <xm:f>Лист1!$C$2:$C$4</xm:f>
          </x14:formula1>
          <xm:sqref>D11:I11</xm:sqref>
        </x14:dataValidation>
        <x14:dataValidation type="list" allowBlank="1" showInputMessage="1" showErrorMessage="1">
          <x14:formula1>
            <xm:f>Лист1!$D$1:$D$2</xm:f>
          </x14:formula1>
          <xm:sqref>D13:I13</xm:sqref>
        </x14:dataValidation>
        <x14:dataValidation type="list" allowBlank="1" showInputMessage="1" showErrorMessage="1">
          <x14:formula1>
            <xm:f>Лист1!$J$2:$J$3</xm:f>
          </x14:formula1>
          <xm:sqref>F68:F72</xm:sqref>
        </x14:dataValidation>
        <x14:dataValidation type="list" allowBlank="1" showInputMessage="1" showErrorMessage="1">
          <x14:formula1>
            <xm:f>Лист1!$L$2</xm:f>
          </x14:formula1>
          <xm:sqref>F73:F75 F77:F81 F84</xm:sqref>
        </x14:dataValidation>
        <x14:dataValidation type="list" allowBlank="1" showInputMessage="1" showErrorMessage="1">
          <x14:formula1>
            <xm:f>Лист1!$M$2</xm:f>
          </x14:formula1>
          <xm:sqref>F76 F85 F82</xm:sqref>
        </x14:dataValidation>
        <x14:dataValidation type="list" allowBlank="1" showInputMessage="1" showErrorMessage="1">
          <x14:formula1>
            <xm:f>Лист1!$F$7</xm:f>
          </x14:formula1>
          <xm:sqref>E83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R1940"/>
  <sheetViews>
    <sheetView workbookViewId="0">
      <selection activeCell="R1" sqref="B1:R1048576"/>
    </sheetView>
  </sheetViews>
  <sheetFormatPr defaultColWidth="10.42578125" defaultRowHeight="15" x14ac:dyDescent="0.25"/>
  <cols>
    <col min="1" max="1" width="17.85546875" style="2" customWidth="1"/>
    <col min="2" max="2" width="8.85546875" style="5" hidden="1" customWidth="1"/>
    <col min="3" max="3" width="13.28515625" style="2" hidden="1" customWidth="1"/>
    <col min="4" max="18" width="8.85546875" style="2" hidden="1" customWidth="1"/>
    <col min="19" max="19" width="141" style="2" customWidth="1"/>
    <col min="20" max="22" width="10.42578125" style="2" customWidth="1"/>
    <col min="23" max="16384" width="10.42578125" style="2"/>
  </cols>
  <sheetData>
    <row r="1" spans="1:17" ht="63.75" x14ac:dyDescent="0.25">
      <c r="A1" s="3"/>
      <c r="B1" s="4" t="s">
        <v>31</v>
      </c>
      <c r="D1" s="1" t="s">
        <v>25</v>
      </c>
      <c r="F1" s="2" t="s">
        <v>29</v>
      </c>
      <c r="G1" s="2" t="s">
        <v>47</v>
      </c>
    </row>
    <row r="2" spans="1:17" x14ac:dyDescent="0.25">
      <c r="A2" s="3"/>
      <c r="B2" s="58" t="s">
        <v>92</v>
      </c>
      <c r="C2" s="2" t="s">
        <v>192</v>
      </c>
      <c r="D2" s="1" t="s">
        <v>26</v>
      </c>
      <c r="F2" s="2" t="s">
        <v>46</v>
      </c>
      <c r="G2" s="2" t="s">
        <v>48</v>
      </c>
      <c r="J2" s="2" t="s">
        <v>149</v>
      </c>
      <c r="L2" s="2" t="s">
        <v>145</v>
      </c>
      <c r="M2" s="2" t="s">
        <v>151</v>
      </c>
      <c r="O2" s="24" t="s">
        <v>9</v>
      </c>
      <c r="P2" s="14"/>
      <c r="Q2" s="25" t="s">
        <v>53</v>
      </c>
    </row>
    <row r="3" spans="1:17" x14ac:dyDescent="0.25">
      <c r="A3" s="3"/>
      <c r="B3" s="58" t="s">
        <v>93</v>
      </c>
      <c r="C3" s="2" t="s">
        <v>193</v>
      </c>
      <c r="G3" s="76"/>
      <c r="H3" s="76"/>
      <c r="J3" s="2" t="s">
        <v>150</v>
      </c>
      <c r="O3" s="24" t="s">
        <v>10</v>
      </c>
      <c r="P3" s="14"/>
      <c r="Q3" s="25" t="s">
        <v>54</v>
      </c>
    </row>
    <row r="4" spans="1:17" x14ac:dyDescent="0.25">
      <c r="B4" s="58" t="s">
        <v>94</v>
      </c>
      <c r="C4" s="2" t="s">
        <v>194</v>
      </c>
      <c r="O4" s="24" t="s">
        <v>11</v>
      </c>
      <c r="P4" s="14"/>
      <c r="Q4" s="25" t="s">
        <v>55</v>
      </c>
    </row>
    <row r="5" spans="1:17" x14ac:dyDescent="0.25">
      <c r="B5" s="58" t="s">
        <v>95</v>
      </c>
      <c r="O5" s="24" t="s">
        <v>12</v>
      </c>
      <c r="P5" s="14"/>
      <c r="Q5" s="25" t="s">
        <v>56</v>
      </c>
    </row>
    <row r="6" spans="1:17" x14ac:dyDescent="0.25">
      <c r="B6" s="58" t="s">
        <v>96</v>
      </c>
      <c r="O6" s="24" t="s">
        <v>13</v>
      </c>
      <c r="P6" s="14"/>
      <c r="Q6" s="25" t="s">
        <v>57</v>
      </c>
    </row>
    <row r="7" spans="1:17" x14ac:dyDescent="0.25">
      <c r="B7" s="58" t="s">
        <v>97</v>
      </c>
      <c r="F7" s="2" t="s">
        <v>263</v>
      </c>
      <c r="O7" s="24" t="s">
        <v>14</v>
      </c>
      <c r="P7" s="14"/>
      <c r="Q7" s="25" t="s">
        <v>58</v>
      </c>
    </row>
    <row r="8" spans="1:17" x14ac:dyDescent="0.25">
      <c r="B8" s="58" t="s">
        <v>98</v>
      </c>
      <c r="O8" s="24" t="s">
        <v>15</v>
      </c>
      <c r="P8" s="14"/>
      <c r="Q8" s="25" t="s">
        <v>59</v>
      </c>
    </row>
    <row r="9" spans="1:17" x14ac:dyDescent="0.25">
      <c r="B9" s="58" t="s">
        <v>99</v>
      </c>
      <c r="O9" s="24" t="s">
        <v>16</v>
      </c>
      <c r="P9" s="14"/>
      <c r="Q9" s="25" t="s">
        <v>60</v>
      </c>
    </row>
    <row r="10" spans="1:17" x14ac:dyDescent="0.25">
      <c r="B10" s="58" t="s">
        <v>100</v>
      </c>
      <c r="O10" s="24" t="s">
        <v>18</v>
      </c>
      <c r="P10" s="14"/>
      <c r="Q10" s="25" t="s">
        <v>61</v>
      </c>
    </row>
    <row r="11" spans="1:17" x14ac:dyDescent="0.25">
      <c r="B11" s="58" t="s">
        <v>101</v>
      </c>
      <c r="O11" s="24" t="s">
        <v>19</v>
      </c>
      <c r="P11" s="14"/>
      <c r="Q11" s="25" t="s">
        <v>62</v>
      </c>
    </row>
    <row r="12" spans="1:17" x14ac:dyDescent="0.25">
      <c r="B12" s="58" t="s">
        <v>102</v>
      </c>
      <c r="O12" s="24" t="s">
        <v>17</v>
      </c>
      <c r="P12" s="14"/>
      <c r="Q12" s="25" t="s">
        <v>63</v>
      </c>
    </row>
    <row r="13" spans="1:17" x14ac:dyDescent="0.25">
      <c r="B13" s="58" t="s">
        <v>103</v>
      </c>
      <c r="O13" s="26" t="s">
        <v>64</v>
      </c>
      <c r="P13" s="21"/>
      <c r="Q13" s="25" t="s">
        <v>65</v>
      </c>
    </row>
    <row r="14" spans="1:17" x14ac:dyDescent="0.25">
      <c r="B14" s="58" t="s">
        <v>104</v>
      </c>
      <c r="O14" s="26" t="s">
        <v>66</v>
      </c>
      <c r="P14" s="21"/>
      <c r="Q14" s="25" t="s">
        <v>67</v>
      </c>
    </row>
    <row r="15" spans="1:17" x14ac:dyDescent="0.25">
      <c r="B15" s="58" t="s">
        <v>105</v>
      </c>
      <c r="O15" s="26" t="s">
        <v>68</v>
      </c>
      <c r="P15" s="21"/>
      <c r="Q15" s="25" t="s">
        <v>69</v>
      </c>
    </row>
    <row r="16" spans="1:17" x14ac:dyDescent="0.25">
      <c r="B16" s="58" t="s">
        <v>106</v>
      </c>
      <c r="O16" s="26" t="s">
        <v>70</v>
      </c>
      <c r="P16" s="21"/>
      <c r="Q16" s="25" t="s">
        <v>71</v>
      </c>
    </row>
    <row r="17" spans="2:17" x14ac:dyDescent="0.25">
      <c r="B17" s="58" t="s">
        <v>107</v>
      </c>
      <c r="O17" s="26" t="s">
        <v>72</v>
      </c>
      <c r="P17" s="21"/>
      <c r="Q17" s="25" t="s">
        <v>73</v>
      </c>
    </row>
    <row r="18" spans="2:17" x14ac:dyDescent="0.25">
      <c r="B18" s="58" t="s">
        <v>108</v>
      </c>
      <c r="O18" s="26" t="s">
        <v>74</v>
      </c>
      <c r="P18" s="21"/>
      <c r="Q18" s="25" t="s">
        <v>75</v>
      </c>
    </row>
    <row r="19" spans="2:17" x14ac:dyDescent="0.25">
      <c r="B19" s="58" t="s">
        <v>109</v>
      </c>
      <c r="O19" s="26" t="s">
        <v>76</v>
      </c>
      <c r="P19" s="21"/>
      <c r="Q19" s="25" t="s">
        <v>77</v>
      </c>
    </row>
    <row r="20" spans="2:17" x14ac:dyDescent="0.25">
      <c r="B20" s="58" t="s">
        <v>110</v>
      </c>
      <c r="O20" s="26" t="s">
        <v>78</v>
      </c>
      <c r="P20" s="21"/>
      <c r="Q20" s="25" t="s">
        <v>79</v>
      </c>
    </row>
    <row r="21" spans="2:17" x14ac:dyDescent="0.25">
      <c r="B21" s="58" t="s">
        <v>111</v>
      </c>
      <c r="O21" s="26" t="s">
        <v>80</v>
      </c>
      <c r="P21" s="21"/>
      <c r="Q21" s="25" t="s">
        <v>81</v>
      </c>
    </row>
    <row r="22" spans="2:17" x14ac:dyDescent="0.25">
      <c r="B22" s="58" t="s">
        <v>112</v>
      </c>
      <c r="O22" s="26" t="s">
        <v>82</v>
      </c>
      <c r="P22" s="21"/>
      <c r="Q22" s="25" t="s">
        <v>83</v>
      </c>
    </row>
    <row r="23" spans="2:17" x14ac:dyDescent="0.25">
      <c r="B23" s="58" t="s">
        <v>113</v>
      </c>
      <c r="O23" s="26" t="s">
        <v>84</v>
      </c>
      <c r="P23" s="21"/>
      <c r="Q23" s="25" t="s">
        <v>85</v>
      </c>
    </row>
    <row r="24" spans="2:17" x14ac:dyDescent="0.25">
      <c r="B24" s="58" t="s">
        <v>114</v>
      </c>
      <c r="O24" s="26" t="s">
        <v>86</v>
      </c>
      <c r="P24" s="21"/>
      <c r="Q24" s="25" t="s">
        <v>87</v>
      </c>
    </row>
    <row r="25" spans="2:17" x14ac:dyDescent="0.25">
      <c r="B25" s="58" t="s">
        <v>115</v>
      </c>
      <c r="O25" s="26" t="s">
        <v>88</v>
      </c>
      <c r="P25" s="21"/>
      <c r="Q25" s="25" t="s">
        <v>89</v>
      </c>
    </row>
    <row r="26" spans="2:17" x14ac:dyDescent="0.25">
      <c r="B26" s="58" t="s">
        <v>195</v>
      </c>
      <c r="O26" s="26" t="s">
        <v>90</v>
      </c>
      <c r="P26" s="21"/>
      <c r="Q26" s="25" t="s">
        <v>91</v>
      </c>
    </row>
    <row r="27" spans="2:17" x14ac:dyDescent="0.25">
      <c r="B27" s="58" t="s">
        <v>196</v>
      </c>
    </row>
    <row r="28" spans="2:17" x14ac:dyDescent="0.25">
      <c r="B28" s="58" t="s">
        <v>129</v>
      </c>
    </row>
    <row r="29" spans="2:17" x14ac:dyDescent="0.25">
      <c r="B29" s="58" t="s">
        <v>130</v>
      </c>
    </row>
    <row r="30" spans="2:17" x14ac:dyDescent="0.25">
      <c r="B30" s="58" t="s">
        <v>131</v>
      </c>
    </row>
    <row r="31" spans="2:17" x14ac:dyDescent="0.25">
      <c r="B31" s="58" t="s">
        <v>132</v>
      </c>
    </row>
    <row r="32" spans="2:17" x14ac:dyDescent="0.25">
      <c r="B32" s="58" t="s">
        <v>133</v>
      </c>
    </row>
    <row r="33" spans="2:2" x14ac:dyDescent="0.25">
      <c r="B33" s="58" t="s">
        <v>134</v>
      </c>
    </row>
    <row r="34" spans="2:2" x14ac:dyDescent="0.25">
      <c r="B34" s="58" t="s">
        <v>135</v>
      </c>
    </row>
    <row r="35" spans="2:2" x14ac:dyDescent="0.25">
      <c r="B35" s="58" t="s">
        <v>136</v>
      </c>
    </row>
    <row r="36" spans="2:2" x14ac:dyDescent="0.25">
      <c r="B36" s="58" t="s">
        <v>137</v>
      </c>
    </row>
    <row r="37" spans="2:2" x14ac:dyDescent="0.25">
      <c r="B37" s="58" t="s">
        <v>138</v>
      </c>
    </row>
    <row r="38" spans="2:2" x14ac:dyDescent="0.25">
      <c r="B38" s="58" t="s">
        <v>139</v>
      </c>
    </row>
    <row r="39" spans="2:2" x14ac:dyDescent="0.25">
      <c r="B39" s="58" t="s">
        <v>140</v>
      </c>
    </row>
    <row r="40" spans="2:2" x14ac:dyDescent="0.25">
      <c r="B40" s="58" t="s">
        <v>197</v>
      </c>
    </row>
    <row r="41" spans="2:2" x14ac:dyDescent="0.25">
      <c r="B41" s="58" t="s">
        <v>198</v>
      </c>
    </row>
    <row r="42" spans="2:2" x14ac:dyDescent="0.25">
      <c r="B42" s="58" t="s">
        <v>199</v>
      </c>
    </row>
    <row r="43" spans="2:2" x14ac:dyDescent="0.25">
      <c r="B43" s="58" t="s">
        <v>200</v>
      </c>
    </row>
    <row r="44" spans="2:2" x14ac:dyDescent="0.25">
      <c r="B44" s="58" t="s">
        <v>116</v>
      </c>
    </row>
    <row r="45" spans="2:2" x14ac:dyDescent="0.25">
      <c r="B45" s="58" t="s">
        <v>117</v>
      </c>
    </row>
    <row r="46" spans="2:2" x14ac:dyDescent="0.25">
      <c r="B46" s="58" t="s">
        <v>118</v>
      </c>
    </row>
    <row r="47" spans="2:2" x14ac:dyDescent="0.25">
      <c r="B47" s="58" t="s">
        <v>119</v>
      </c>
    </row>
    <row r="48" spans="2:2" x14ac:dyDescent="0.25">
      <c r="B48" s="58" t="s">
        <v>120</v>
      </c>
    </row>
    <row r="49" spans="2:2" x14ac:dyDescent="0.25">
      <c r="B49" s="58" t="s">
        <v>121</v>
      </c>
    </row>
    <row r="50" spans="2:2" x14ac:dyDescent="0.25">
      <c r="B50" s="58" t="s">
        <v>122</v>
      </c>
    </row>
    <row r="51" spans="2:2" x14ac:dyDescent="0.25">
      <c r="B51" s="58" t="s">
        <v>123</v>
      </c>
    </row>
    <row r="52" spans="2:2" x14ac:dyDescent="0.25">
      <c r="B52" s="58" t="s">
        <v>124</v>
      </c>
    </row>
    <row r="53" spans="2:2" x14ac:dyDescent="0.25">
      <c r="B53" s="58" t="s">
        <v>125</v>
      </c>
    </row>
    <row r="54" spans="2:2" x14ac:dyDescent="0.25">
      <c r="B54" s="58" t="s">
        <v>126</v>
      </c>
    </row>
    <row r="55" spans="2:2" x14ac:dyDescent="0.25">
      <c r="B55" s="58" t="s">
        <v>127</v>
      </c>
    </row>
    <row r="56" spans="2:2" x14ac:dyDescent="0.25">
      <c r="B56" s="58" t="s">
        <v>128</v>
      </c>
    </row>
    <row r="608" spans="2:2" x14ac:dyDescent="0.25">
      <c r="B608" s="6"/>
    </row>
    <row r="888" spans="2:2" x14ac:dyDescent="0.25">
      <c r="B888" s="7"/>
    </row>
    <row r="906" spans="2:2" x14ac:dyDescent="0.25">
      <c r="B906" s="8"/>
    </row>
    <row r="1148" spans="2:2" x14ac:dyDescent="0.25">
      <c r="B1148" s="8"/>
    </row>
    <row r="1196" spans="2:2" x14ac:dyDescent="0.25">
      <c r="B1196" s="7"/>
    </row>
    <row r="1197" spans="2:2" x14ac:dyDescent="0.25">
      <c r="B1197" s="7"/>
    </row>
    <row r="1575" spans="2:2" x14ac:dyDescent="0.25">
      <c r="B1575" s="6"/>
    </row>
    <row r="1859" spans="2:2" x14ac:dyDescent="0.25">
      <c r="B1859" s="8"/>
    </row>
    <row r="1860" spans="2:2" x14ac:dyDescent="0.25">
      <c r="B1860" s="8"/>
    </row>
    <row r="1861" spans="2:2" x14ac:dyDescent="0.25">
      <c r="B1861" s="8"/>
    </row>
    <row r="1862" spans="2:2" x14ac:dyDescent="0.25">
      <c r="B1862" s="8"/>
    </row>
    <row r="1863" spans="2:2" x14ac:dyDescent="0.25">
      <c r="B1863" s="8"/>
    </row>
    <row r="1864" spans="2:2" x14ac:dyDescent="0.25">
      <c r="B1864" s="8"/>
    </row>
    <row r="1865" spans="2:2" x14ac:dyDescent="0.25">
      <c r="B1865" s="8"/>
    </row>
    <row r="1866" spans="2:2" x14ac:dyDescent="0.25">
      <c r="B1866" s="8"/>
    </row>
    <row r="1867" spans="2:2" x14ac:dyDescent="0.25">
      <c r="B1867" s="8"/>
    </row>
    <row r="1868" spans="2:2" x14ac:dyDescent="0.25">
      <c r="B1868" s="8"/>
    </row>
    <row r="1869" spans="2:2" x14ac:dyDescent="0.25">
      <c r="B1869" s="8"/>
    </row>
    <row r="1870" spans="2:2" x14ac:dyDescent="0.25">
      <c r="B1870" s="8"/>
    </row>
    <row r="1871" spans="2:2" x14ac:dyDescent="0.25">
      <c r="B1871" s="8"/>
    </row>
    <row r="1872" spans="2:2" x14ac:dyDescent="0.25">
      <c r="B1872" s="8"/>
    </row>
    <row r="1873" spans="2:2" x14ac:dyDescent="0.25">
      <c r="B1873" s="8"/>
    </row>
    <row r="1874" spans="2:2" x14ac:dyDescent="0.25">
      <c r="B1874" s="8"/>
    </row>
    <row r="1875" spans="2:2" x14ac:dyDescent="0.25">
      <c r="B1875" s="8"/>
    </row>
    <row r="1876" spans="2:2" x14ac:dyDescent="0.25">
      <c r="B1876" s="8"/>
    </row>
    <row r="1877" spans="2:2" x14ac:dyDescent="0.25">
      <c r="B1877" s="8"/>
    </row>
    <row r="1878" spans="2:2" x14ac:dyDescent="0.25">
      <c r="B1878" s="8"/>
    </row>
    <row r="1879" spans="2:2" x14ac:dyDescent="0.25">
      <c r="B1879" s="8"/>
    </row>
    <row r="1880" spans="2:2" x14ac:dyDescent="0.25">
      <c r="B1880" s="8"/>
    </row>
    <row r="1881" spans="2:2" x14ac:dyDescent="0.25">
      <c r="B1881" s="8"/>
    </row>
    <row r="1939" spans="2:2" x14ac:dyDescent="0.25">
      <c r="B1939" s="8"/>
    </row>
    <row r="1940" spans="2:2" x14ac:dyDescent="0.25">
      <c r="B1940" s="8"/>
    </row>
  </sheetData>
  <sheetProtection algorithmName="SHA-512" hashValue="Z8PsyM8F2q7nEAULIa63W7FR+CNyfiZGrPKV8yn5FwY5RQUIV7vBctor05A1SSNixfAsnDLW7j8uCvrTiCx/ug==" saltValue="0J7S21A/qN73A8Luhmf+8g==" spinCount="100000" sheet="1" selectLockedCells="1" selectUnlockedCells="1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D352D1D624CBE843956BC7B3F6E992FC" ma:contentTypeVersion="0" ma:contentTypeDescription="Создание документа." ma:contentTypeScope="" ma:versionID="e2771c5c9ee2bc024eced8e430abb8f1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02f955febea7e716b4e91cddba171100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контента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D01FCEB-E496-451D-88BB-880E0A6867C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6E300FA2-619A-4AE1-A202-E84378A2F143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5B6E4C24-9328-4579-8EE5-A151BBADFFB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Заявка на ДП</vt:lpstr>
      <vt:lpstr>Лист1</vt:lpstr>
      <vt:lpstr>Булево</vt:lpstr>
      <vt:lpstr>Покупатель</vt:lpstr>
    </vt:vector>
  </TitlesOfParts>
  <Company>X5 Retail Group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Volkov, Viktor</dc:creator>
  <cp:lastModifiedBy>Evgeniy Sladkov</cp:lastModifiedBy>
  <cp:lastPrinted>2017-08-04T09:03:07Z</cp:lastPrinted>
  <dcterms:created xsi:type="dcterms:W3CDTF">2012-12-04T05:12:19Z</dcterms:created>
  <dcterms:modified xsi:type="dcterms:W3CDTF">2018-09-24T09:23:27Z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0x010100D352D1D624CBE843956BC7B3F6E992FC</vt:lpwstr>
  </property>
  <property fmtid="{D5CDD505-2E9C-101B-9397-08002B2CF9AE}" pid="3" name="eDOCS AutoSave">
    <vt:lpwstr/>
  </property>
</Properties>
</file>